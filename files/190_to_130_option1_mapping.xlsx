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vikh\OneDrive\Desktop\dataAnalysis\"/>
    </mc:Choice>
  </mc:AlternateContent>
  <xr:revisionPtr revIDLastSave="0" documentId="13_ncr:1_{1CF7D7E1-FA1C-4DF6-9E59-F6DEDD8D7E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LD" sheetId="2" r:id="rId1"/>
    <sheet name="Industry Mapping" sheetId="1" r:id="rId2"/>
  </sheets>
  <definedNames>
    <definedName name="_xlnm._FilterDatabase" localSheetId="1" hidden="1">'Industry Mapping'!$A$1:$F$191</definedName>
  </definedNames>
  <calcPr calcId="191029"/>
</workbook>
</file>

<file path=xl/calcChain.xml><?xml version="1.0" encoding="utf-8"?>
<calcChain xmlns="http://schemas.openxmlformats.org/spreadsheetml/2006/main">
  <c r="F114" i="1" l="1"/>
  <c r="F168" i="1"/>
  <c r="F75" i="1"/>
  <c r="F125" i="1"/>
  <c r="F93" i="1"/>
  <c r="F29" i="1"/>
  <c r="F42" i="1"/>
  <c r="F90" i="1"/>
  <c r="F124" i="1"/>
  <c r="F164" i="1"/>
  <c r="F40" i="1"/>
  <c r="F76" i="1"/>
  <c r="F24" i="1"/>
  <c r="F183" i="1"/>
  <c r="F154" i="1"/>
  <c r="F111" i="1"/>
  <c r="F92" i="1"/>
  <c r="F177" i="1"/>
  <c r="F106" i="1"/>
  <c r="F32" i="1"/>
  <c r="F83" i="1"/>
  <c r="F131" i="1"/>
  <c r="F129" i="1"/>
  <c r="F107" i="1"/>
  <c r="F122" i="1"/>
  <c r="F127" i="1"/>
  <c r="F118" i="1"/>
  <c r="F132" i="1"/>
  <c r="F182" i="1"/>
  <c r="F86" i="1"/>
  <c r="F165" i="1"/>
  <c r="F43" i="1"/>
  <c r="F78" i="1"/>
  <c r="F180" i="1"/>
  <c r="F77" i="1"/>
  <c r="F157" i="1"/>
  <c r="F20" i="1"/>
  <c r="F163" i="1"/>
  <c r="F119" i="1"/>
  <c r="F120" i="1"/>
  <c r="F162" i="1"/>
  <c r="F21" i="1"/>
  <c r="F121" i="1"/>
  <c r="F98" i="1"/>
  <c r="F51" i="1"/>
  <c r="F41" i="1"/>
  <c r="F55" i="1"/>
  <c r="F30" i="1"/>
  <c r="F141" i="1"/>
  <c r="F31" i="1"/>
  <c r="F70" i="1"/>
  <c r="F140" i="1"/>
  <c r="F181" i="1"/>
  <c r="F138" i="1"/>
  <c r="F88" i="1"/>
  <c r="F99" i="1"/>
  <c r="F130" i="1"/>
  <c r="F172" i="1"/>
  <c r="F189" i="1"/>
  <c r="F52" i="1"/>
  <c r="F74" i="1"/>
  <c r="F137" i="1"/>
  <c r="F12" i="1"/>
  <c r="F47" i="1"/>
  <c r="F18" i="1"/>
  <c r="F27" i="1"/>
  <c r="F15" i="1"/>
  <c r="F79" i="1"/>
  <c r="F179" i="1"/>
  <c r="F110" i="1"/>
  <c r="F5" i="1"/>
  <c r="F72" i="1"/>
  <c r="F16" i="1"/>
  <c r="F173" i="1"/>
  <c r="F62" i="1"/>
  <c r="F66" i="1"/>
  <c r="F94" i="1"/>
  <c r="F136" i="1"/>
  <c r="F50" i="1"/>
  <c r="F68" i="1"/>
  <c r="F11" i="1"/>
  <c r="F10" i="1"/>
  <c r="F117" i="1"/>
  <c r="F13" i="1"/>
  <c r="F95" i="1"/>
  <c r="F49" i="1"/>
  <c r="F59" i="1"/>
  <c r="F167" i="1"/>
  <c r="F82" i="1"/>
  <c r="F17" i="1"/>
  <c r="F9" i="1"/>
  <c r="F143" i="1"/>
  <c r="F14" i="1"/>
  <c r="F80" i="1"/>
  <c r="F81" i="1"/>
  <c r="F158" i="1"/>
  <c r="F103" i="1"/>
  <c r="F61" i="1"/>
  <c r="F156" i="1"/>
  <c r="F170" i="1"/>
  <c r="F91" i="1"/>
  <c r="F178" i="1"/>
  <c r="F113" i="1"/>
  <c r="F109" i="1"/>
  <c r="F187" i="1"/>
  <c r="F139" i="1"/>
  <c r="F188" i="1"/>
  <c r="F160" i="1"/>
  <c r="F186" i="1"/>
  <c r="F185" i="1"/>
  <c r="F100" i="1"/>
  <c r="F96" i="1"/>
  <c r="F8" i="1"/>
  <c r="F33" i="1"/>
  <c r="F115" i="1"/>
  <c r="F73" i="1"/>
  <c r="F26" i="1"/>
  <c r="F108" i="1"/>
  <c r="F22" i="1"/>
  <c r="F126" i="1"/>
  <c r="F63" i="1"/>
  <c r="F2" i="1"/>
  <c r="F35" i="1"/>
  <c r="F112" i="1"/>
  <c r="F53" i="1"/>
  <c r="F169" i="1"/>
  <c r="F135" i="1"/>
  <c r="F147" i="1"/>
  <c r="F153" i="1"/>
  <c r="F151" i="1"/>
  <c r="F102" i="1"/>
  <c r="F148" i="1"/>
  <c r="F64" i="1"/>
  <c r="F39" i="1"/>
  <c r="F57" i="1"/>
  <c r="F84" i="1"/>
  <c r="F34" i="1"/>
  <c r="F25" i="1"/>
  <c r="F171" i="1"/>
  <c r="F166" i="1"/>
  <c r="F184" i="1"/>
  <c r="F174" i="1"/>
  <c r="F116" i="1"/>
  <c r="F46" i="1"/>
  <c r="F4" i="1"/>
  <c r="F56" i="1"/>
  <c r="F97" i="1"/>
  <c r="F3" i="1"/>
  <c r="F150" i="1"/>
  <c r="F159" i="1"/>
  <c r="F145" i="1"/>
  <c r="F58" i="1"/>
  <c r="F144" i="1"/>
  <c r="F161" i="1"/>
  <c r="F155" i="1"/>
  <c r="F104" i="1"/>
  <c r="F89" i="1"/>
  <c r="F28" i="1"/>
  <c r="F54" i="1"/>
  <c r="F45" i="1"/>
  <c r="F146" i="1"/>
  <c r="F36" i="1"/>
  <c r="F7" i="1"/>
  <c r="F48" i="1"/>
  <c r="F101" i="1"/>
  <c r="F23" i="1"/>
  <c r="F67" i="1"/>
  <c r="F133" i="1"/>
  <c r="F175" i="1"/>
  <c r="F123" i="1"/>
  <c r="F6" i="1"/>
  <c r="F128" i="1"/>
  <c r="F69" i="1"/>
  <c r="F60" i="1"/>
  <c r="F19" i="1"/>
  <c r="F191" i="1"/>
  <c r="F152" i="1"/>
  <c r="F176" i="1"/>
  <c r="F65" i="1"/>
  <c r="F38" i="1"/>
  <c r="F149" i="1"/>
  <c r="F190" i="1"/>
  <c r="F134" i="1"/>
  <c r="F71" i="1"/>
  <c r="F87" i="1"/>
  <c r="F37" i="1"/>
  <c r="F142" i="1"/>
  <c r="F105" i="1"/>
  <c r="F44" i="1"/>
  <c r="F85" i="1"/>
  <c r="E114" i="1"/>
  <c r="E168" i="1"/>
  <c r="E75" i="1"/>
  <c r="E125" i="1"/>
  <c r="E93" i="1"/>
  <c r="E29" i="1"/>
  <c r="E42" i="1"/>
  <c r="E90" i="1"/>
  <c r="E124" i="1"/>
  <c r="E164" i="1"/>
  <c r="E40" i="1"/>
  <c r="E76" i="1"/>
  <c r="E24" i="1"/>
  <c r="E183" i="1"/>
  <c r="E154" i="1"/>
  <c r="E111" i="1"/>
  <c r="E92" i="1"/>
  <c r="E177" i="1"/>
  <c r="E106" i="1"/>
  <c r="E32" i="1"/>
  <c r="E83" i="1"/>
  <c r="E131" i="1"/>
  <c r="E129" i="1"/>
  <c r="E107" i="1"/>
  <c r="E122" i="1"/>
  <c r="E127" i="1"/>
  <c r="E118" i="1"/>
  <c r="E132" i="1"/>
  <c r="E182" i="1"/>
  <c r="E86" i="1"/>
  <c r="E165" i="1"/>
  <c r="E43" i="1"/>
  <c r="E78" i="1"/>
  <c r="E180" i="1"/>
  <c r="E77" i="1"/>
  <c r="E157" i="1"/>
  <c r="E20" i="1"/>
  <c r="E163" i="1"/>
  <c r="E119" i="1"/>
  <c r="E120" i="1"/>
  <c r="E162" i="1"/>
  <c r="E21" i="1"/>
  <c r="E121" i="1"/>
  <c r="E98" i="1"/>
  <c r="E51" i="1"/>
  <c r="E41" i="1"/>
  <c r="E55" i="1"/>
  <c r="E30" i="1"/>
  <c r="E141" i="1"/>
  <c r="E31" i="1"/>
  <c r="E70" i="1"/>
  <c r="E140" i="1"/>
  <c r="E181" i="1"/>
  <c r="E138" i="1"/>
  <c r="E88" i="1"/>
  <c r="E99" i="1"/>
  <c r="E130" i="1"/>
  <c r="E172" i="1"/>
  <c r="E189" i="1"/>
  <c r="E52" i="1"/>
  <c r="E74" i="1"/>
  <c r="E137" i="1"/>
  <c r="E12" i="1"/>
  <c r="E47" i="1"/>
  <c r="E18" i="1"/>
  <c r="E27" i="1"/>
  <c r="E15" i="1"/>
  <c r="E79" i="1"/>
  <c r="E179" i="1"/>
  <c r="E110" i="1"/>
  <c r="E5" i="1"/>
  <c r="E72" i="1"/>
  <c r="E16" i="1"/>
  <c r="E173" i="1"/>
  <c r="E62" i="1"/>
  <c r="E66" i="1"/>
  <c r="E94" i="1"/>
  <c r="E136" i="1"/>
  <c r="E50" i="1"/>
  <c r="E68" i="1"/>
  <c r="E11" i="1"/>
  <c r="E10" i="1"/>
  <c r="E117" i="1"/>
  <c r="E13" i="1"/>
  <c r="E95" i="1"/>
  <c r="E49" i="1"/>
  <c r="E59" i="1"/>
  <c r="E167" i="1"/>
  <c r="E82" i="1"/>
  <c r="E17" i="1"/>
  <c r="E9" i="1"/>
  <c r="E143" i="1"/>
  <c r="E14" i="1"/>
  <c r="E80" i="1"/>
  <c r="E81" i="1"/>
  <c r="E158" i="1"/>
  <c r="E103" i="1"/>
  <c r="E61" i="1"/>
  <c r="E156" i="1"/>
  <c r="E170" i="1"/>
  <c r="E91" i="1"/>
  <c r="E178" i="1"/>
  <c r="E113" i="1"/>
  <c r="E109" i="1"/>
  <c r="E187" i="1"/>
  <c r="E139" i="1"/>
  <c r="E188" i="1"/>
  <c r="E160" i="1"/>
  <c r="E186" i="1"/>
  <c r="E185" i="1"/>
  <c r="E100" i="1"/>
  <c r="E96" i="1"/>
  <c r="E8" i="1"/>
  <c r="E33" i="1"/>
  <c r="E115" i="1"/>
  <c r="E73" i="1"/>
  <c r="E26" i="1"/>
  <c r="E108" i="1"/>
  <c r="E22" i="1"/>
  <c r="E126" i="1"/>
  <c r="E63" i="1"/>
  <c r="E2" i="1"/>
  <c r="E35" i="1"/>
  <c r="E112" i="1"/>
  <c r="E53" i="1"/>
  <c r="E169" i="1"/>
  <c r="E135" i="1"/>
  <c r="E147" i="1"/>
  <c r="E153" i="1"/>
  <c r="E151" i="1"/>
  <c r="E102" i="1"/>
  <c r="E148" i="1"/>
  <c r="E64" i="1"/>
  <c r="E39" i="1"/>
  <c r="E57" i="1"/>
  <c r="E84" i="1"/>
  <c r="E34" i="1"/>
  <c r="E25" i="1"/>
  <c r="E171" i="1"/>
  <c r="E166" i="1"/>
  <c r="E184" i="1"/>
  <c r="E174" i="1"/>
  <c r="E116" i="1"/>
  <c r="E46" i="1"/>
  <c r="E4" i="1"/>
  <c r="E56" i="1"/>
  <c r="E97" i="1"/>
  <c r="E3" i="1"/>
  <c r="E150" i="1"/>
  <c r="E159" i="1"/>
  <c r="E145" i="1"/>
  <c r="E58" i="1"/>
  <c r="E144" i="1"/>
  <c r="E161" i="1"/>
  <c r="E155" i="1"/>
  <c r="E104" i="1"/>
  <c r="E89" i="1"/>
  <c r="E28" i="1"/>
  <c r="E54" i="1"/>
  <c r="E45" i="1"/>
  <c r="E146" i="1"/>
  <c r="E36" i="1"/>
  <c r="E7" i="1"/>
  <c r="E48" i="1"/>
  <c r="E101" i="1"/>
  <c r="E23" i="1"/>
  <c r="E67" i="1"/>
  <c r="E133" i="1"/>
  <c r="E175" i="1"/>
  <c r="E123" i="1"/>
  <c r="E6" i="1"/>
  <c r="E128" i="1"/>
  <c r="E69" i="1"/>
  <c r="E60" i="1"/>
  <c r="E19" i="1"/>
  <c r="E191" i="1"/>
  <c r="E152" i="1"/>
  <c r="E176" i="1"/>
  <c r="E65" i="1"/>
  <c r="E38" i="1"/>
  <c r="E149" i="1"/>
  <c r="E190" i="1"/>
  <c r="E134" i="1"/>
  <c r="E71" i="1"/>
  <c r="E87" i="1"/>
  <c r="E37" i="1"/>
  <c r="E142" i="1"/>
  <c r="E105" i="1"/>
  <c r="E44" i="1"/>
  <c r="E85" i="1"/>
  <c r="D114" i="1"/>
  <c r="D168" i="1"/>
  <c r="D75" i="1"/>
  <c r="D125" i="1"/>
  <c r="D93" i="1"/>
  <c r="D29" i="1"/>
  <c r="D42" i="1"/>
  <c r="D90" i="1"/>
  <c r="D124" i="1"/>
  <c r="D164" i="1"/>
  <c r="D40" i="1"/>
  <c r="D76" i="1"/>
  <c r="D24" i="1"/>
  <c r="D183" i="1"/>
  <c r="D154" i="1"/>
  <c r="D111" i="1"/>
  <c r="D92" i="1"/>
  <c r="D177" i="1"/>
  <c r="D106" i="1"/>
  <c r="D32" i="1"/>
  <c r="D83" i="1"/>
  <c r="D131" i="1"/>
  <c r="D129" i="1"/>
  <c r="D107" i="1"/>
  <c r="D122" i="1"/>
  <c r="D127" i="1"/>
  <c r="D118" i="1"/>
  <c r="D132" i="1"/>
  <c r="D182" i="1"/>
  <c r="D86" i="1"/>
  <c r="D165" i="1"/>
  <c r="D43" i="1"/>
  <c r="D78" i="1"/>
  <c r="D180" i="1"/>
  <c r="D77" i="1"/>
  <c r="D157" i="1"/>
  <c r="D20" i="1"/>
  <c r="D163" i="1"/>
  <c r="D119" i="1"/>
  <c r="D120" i="1"/>
  <c r="D162" i="1"/>
  <c r="D21" i="1"/>
  <c r="D121" i="1"/>
  <c r="D98" i="1"/>
  <c r="D51" i="1"/>
  <c r="D41" i="1"/>
  <c r="D55" i="1"/>
  <c r="D30" i="1"/>
  <c r="D141" i="1"/>
  <c r="D31" i="1"/>
  <c r="D70" i="1"/>
  <c r="D140" i="1"/>
  <c r="D181" i="1"/>
  <c r="D138" i="1"/>
  <c r="D88" i="1"/>
  <c r="D99" i="1"/>
  <c r="D130" i="1"/>
  <c r="D172" i="1"/>
  <c r="D189" i="1"/>
  <c r="D52" i="1"/>
  <c r="D74" i="1"/>
  <c r="D137" i="1"/>
  <c r="D12" i="1"/>
  <c r="D47" i="1"/>
  <c r="D18" i="1"/>
  <c r="D27" i="1"/>
  <c r="D15" i="1"/>
  <c r="D79" i="1"/>
  <c r="D179" i="1"/>
  <c r="D110" i="1"/>
  <c r="D5" i="1"/>
  <c r="D72" i="1"/>
  <c r="D16" i="1"/>
  <c r="D173" i="1"/>
  <c r="D62" i="1"/>
  <c r="D66" i="1"/>
  <c r="D94" i="1"/>
  <c r="D136" i="1"/>
  <c r="D50" i="1"/>
  <c r="D68" i="1"/>
  <c r="D11" i="1"/>
  <c r="D10" i="1"/>
  <c r="D117" i="1"/>
  <c r="D13" i="1"/>
  <c r="D95" i="1"/>
  <c r="D49" i="1"/>
  <c r="D59" i="1"/>
  <c r="D167" i="1"/>
  <c r="D82" i="1"/>
  <c r="D17" i="1"/>
  <c r="D9" i="1"/>
  <c r="D143" i="1"/>
  <c r="D14" i="1"/>
  <c r="D80" i="1"/>
  <c r="D81" i="1"/>
  <c r="D158" i="1"/>
  <c r="D103" i="1"/>
  <c r="D61" i="1"/>
  <c r="D156" i="1"/>
  <c r="D170" i="1"/>
  <c r="D91" i="1"/>
  <c r="D178" i="1"/>
  <c r="D113" i="1"/>
  <c r="D109" i="1"/>
  <c r="D187" i="1"/>
  <c r="D139" i="1"/>
  <c r="D188" i="1"/>
  <c r="D160" i="1"/>
  <c r="D186" i="1"/>
  <c r="D185" i="1"/>
  <c r="D100" i="1"/>
  <c r="D96" i="1"/>
  <c r="D8" i="1"/>
  <c r="D33" i="1"/>
  <c r="D115" i="1"/>
  <c r="D73" i="1"/>
  <c r="D26" i="1"/>
  <c r="D108" i="1"/>
  <c r="D22" i="1"/>
  <c r="D126" i="1"/>
  <c r="D63" i="1"/>
  <c r="D2" i="1"/>
  <c r="D35" i="1"/>
  <c r="D112" i="1"/>
  <c r="D53" i="1"/>
  <c r="D169" i="1"/>
  <c r="D135" i="1"/>
  <c r="D147" i="1"/>
  <c r="D153" i="1"/>
  <c r="D151" i="1"/>
  <c r="D102" i="1"/>
  <c r="D148" i="1"/>
  <c r="D64" i="1"/>
  <c r="D39" i="1"/>
  <c r="D57" i="1"/>
  <c r="D84" i="1"/>
  <c r="D34" i="1"/>
  <c r="D25" i="1"/>
  <c r="D171" i="1"/>
  <c r="D166" i="1"/>
  <c r="D184" i="1"/>
  <c r="D174" i="1"/>
  <c r="D116" i="1"/>
  <c r="D46" i="1"/>
  <c r="D4" i="1"/>
  <c r="D56" i="1"/>
  <c r="D97" i="1"/>
  <c r="D3" i="1"/>
  <c r="D150" i="1"/>
  <c r="D159" i="1"/>
  <c r="D145" i="1"/>
  <c r="D58" i="1"/>
  <c r="D144" i="1"/>
  <c r="D161" i="1"/>
  <c r="D155" i="1"/>
  <c r="D104" i="1"/>
  <c r="D89" i="1"/>
  <c r="D28" i="1"/>
  <c r="D54" i="1"/>
  <c r="D45" i="1"/>
  <c r="D146" i="1"/>
  <c r="D36" i="1"/>
  <c r="D7" i="1"/>
  <c r="D48" i="1"/>
  <c r="D101" i="1"/>
  <c r="D23" i="1"/>
  <c r="D67" i="1"/>
  <c r="D133" i="1"/>
  <c r="D175" i="1"/>
  <c r="D123" i="1"/>
  <c r="D6" i="1"/>
  <c r="D128" i="1"/>
  <c r="D69" i="1"/>
  <c r="D60" i="1"/>
  <c r="D19" i="1"/>
  <c r="D191" i="1"/>
  <c r="D152" i="1"/>
  <c r="D176" i="1"/>
  <c r="D65" i="1"/>
  <c r="D38" i="1"/>
  <c r="D149" i="1"/>
  <c r="D190" i="1"/>
  <c r="D134" i="1"/>
  <c r="D71" i="1"/>
  <c r="D87" i="1"/>
  <c r="D37" i="1"/>
  <c r="D142" i="1"/>
  <c r="D105" i="1"/>
  <c r="D44" i="1"/>
  <c r="D85" i="1"/>
  <c r="C114" i="1"/>
  <c r="C168" i="1"/>
  <c r="C75" i="1"/>
  <c r="C125" i="1"/>
  <c r="C93" i="1"/>
  <c r="C29" i="1"/>
  <c r="C42" i="1"/>
  <c r="C90" i="1"/>
  <c r="C124" i="1"/>
  <c r="C164" i="1"/>
  <c r="C40" i="1"/>
  <c r="C76" i="1"/>
  <c r="C24" i="1"/>
  <c r="C183" i="1"/>
  <c r="C154" i="1"/>
  <c r="C111" i="1"/>
  <c r="C92" i="1"/>
  <c r="C177" i="1"/>
  <c r="C106" i="1"/>
  <c r="C32" i="1"/>
  <c r="C83" i="1"/>
  <c r="C131" i="1"/>
  <c r="C129" i="1"/>
  <c r="C107" i="1"/>
  <c r="C122" i="1"/>
  <c r="C127" i="1"/>
  <c r="C118" i="1"/>
  <c r="C132" i="1"/>
  <c r="C182" i="1"/>
  <c r="C86" i="1"/>
  <c r="C165" i="1"/>
  <c r="C43" i="1"/>
  <c r="C78" i="1"/>
  <c r="C180" i="1"/>
  <c r="C77" i="1"/>
  <c r="C157" i="1"/>
  <c r="C20" i="1"/>
  <c r="C163" i="1"/>
  <c r="C119" i="1"/>
  <c r="C120" i="1"/>
  <c r="C162" i="1"/>
  <c r="C21" i="1"/>
  <c r="C121" i="1"/>
  <c r="C98" i="1"/>
  <c r="C51" i="1"/>
  <c r="C41" i="1"/>
  <c r="C55" i="1"/>
  <c r="C30" i="1"/>
  <c r="C141" i="1"/>
  <c r="C31" i="1"/>
  <c r="C70" i="1"/>
  <c r="C140" i="1"/>
  <c r="C181" i="1"/>
  <c r="C138" i="1"/>
  <c r="C88" i="1"/>
  <c r="C99" i="1"/>
  <c r="C130" i="1"/>
  <c r="C172" i="1"/>
  <c r="C189" i="1"/>
  <c r="C52" i="1"/>
  <c r="C74" i="1"/>
  <c r="C137" i="1"/>
  <c r="C12" i="1"/>
  <c r="C47" i="1"/>
  <c r="C18" i="1"/>
  <c r="C27" i="1"/>
  <c r="C15" i="1"/>
  <c r="C79" i="1"/>
  <c r="C179" i="1"/>
  <c r="C110" i="1"/>
  <c r="C5" i="1"/>
  <c r="C72" i="1"/>
  <c r="C16" i="1"/>
  <c r="C173" i="1"/>
  <c r="C62" i="1"/>
  <c r="C66" i="1"/>
  <c r="C94" i="1"/>
  <c r="C136" i="1"/>
  <c r="C50" i="1"/>
  <c r="C68" i="1"/>
  <c r="C11" i="1"/>
  <c r="C10" i="1"/>
  <c r="C117" i="1"/>
  <c r="C13" i="1"/>
  <c r="C95" i="1"/>
  <c r="C49" i="1"/>
  <c r="C59" i="1"/>
  <c r="C167" i="1"/>
  <c r="C82" i="1"/>
  <c r="C17" i="1"/>
  <c r="C9" i="1"/>
  <c r="C143" i="1"/>
  <c r="C14" i="1"/>
  <c r="C80" i="1"/>
  <c r="C81" i="1"/>
  <c r="C158" i="1"/>
  <c r="C103" i="1"/>
  <c r="C61" i="1"/>
  <c r="C156" i="1"/>
  <c r="C170" i="1"/>
  <c r="C91" i="1"/>
  <c r="C178" i="1"/>
  <c r="C113" i="1"/>
  <c r="C109" i="1"/>
  <c r="C187" i="1"/>
  <c r="C139" i="1"/>
  <c r="C188" i="1"/>
  <c r="C160" i="1"/>
  <c r="C186" i="1"/>
  <c r="C185" i="1"/>
  <c r="C100" i="1"/>
  <c r="C96" i="1"/>
  <c r="C8" i="1"/>
  <c r="C33" i="1"/>
  <c r="C115" i="1"/>
  <c r="C73" i="1"/>
  <c r="C26" i="1"/>
  <c r="C108" i="1"/>
  <c r="C22" i="1"/>
  <c r="C126" i="1"/>
  <c r="C63" i="1"/>
  <c r="C2" i="1"/>
  <c r="C35" i="1"/>
  <c r="C112" i="1"/>
  <c r="C53" i="1"/>
  <c r="C169" i="1"/>
  <c r="C135" i="1"/>
  <c r="C147" i="1"/>
  <c r="C153" i="1"/>
  <c r="C151" i="1"/>
  <c r="C102" i="1"/>
  <c r="C148" i="1"/>
  <c r="C64" i="1"/>
  <c r="C39" i="1"/>
  <c r="C57" i="1"/>
  <c r="C84" i="1"/>
  <c r="C34" i="1"/>
  <c r="C25" i="1"/>
  <c r="C171" i="1"/>
  <c r="C166" i="1"/>
  <c r="C184" i="1"/>
  <c r="C174" i="1"/>
  <c r="C116" i="1"/>
  <c r="C46" i="1"/>
  <c r="C4" i="1"/>
  <c r="C56" i="1"/>
  <c r="C97" i="1"/>
  <c r="C3" i="1"/>
  <c r="C150" i="1"/>
  <c r="C159" i="1"/>
  <c r="C145" i="1"/>
  <c r="C58" i="1"/>
  <c r="C144" i="1"/>
  <c r="C161" i="1"/>
  <c r="C155" i="1"/>
  <c r="C104" i="1"/>
  <c r="C89" i="1"/>
  <c r="C28" i="1"/>
  <c r="C54" i="1"/>
  <c r="C45" i="1"/>
  <c r="C146" i="1"/>
  <c r="C36" i="1"/>
  <c r="C7" i="1"/>
  <c r="C48" i="1"/>
  <c r="C101" i="1"/>
  <c r="C23" i="1"/>
  <c r="C67" i="1"/>
  <c r="C133" i="1"/>
  <c r="C175" i="1"/>
  <c r="C123" i="1"/>
  <c r="C6" i="1"/>
  <c r="C128" i="1"/>
  <c r="C69" i="1"/>
  <c r="C60" i="1"/>
  <c r="C19" i="1"/>
  <c r="C191" i="1"/>
  <c r="C152" i="1"/>
  <c r="C176" i="1"/>
  <c r="C65" i="1"/>
  <c r="C38" i="1"/>
  <c r="C149" i="1"/>
  <c r="C190" i="1"/>
  <c r="C134" i="1"/>
  <c r="C71" i="1"/>
  <c r="C87" i="1"/>
  <c r="C37" i="1"/>
  <c r="C142" i="1"/>
  <c r="C105" i="1"/>
  <c r="C44" i="1"/>
  <c r="C85" i="1"/>
</calcChain>
</file>

<file path=xl/sharedStrings.xml><?xml version="1.0" encoding="utf-8"?>
<sst xmlns="http://schemas.openxmlformats.org/spreadsheetml/2006/main" count="1177" uniqueCount="446">
  <si>
    <t>Industrial Minerals</t>
  </si>
  <si>
    <t>Other metals/Minerals</t>
  </si>
  <si>
    <t>Other Capital Market related Services</t>
  </si>
  <si>
    <t>Investment banks/Brokers</t>
  </si>
  <si>
    <t>Stockbroking &amp; Allied</t>
  </si>
  <si>
    <t>Healthcare Service Provider</t>
  </si>
  <si>
    <t>Medical/Nursing services</t>
  </si>
  <si>
    <t>Packaging</t>
  </si>
  <si>
    <t>Containers/Packaging</t>
  </si>
  <si>
    <t>IT Enabled Services</t>
  </si>
  <si>
    <t>Information technology services</t>
  </si>
  <si>
    <t>Diversified</t>
  </si>
  <si>
    <t>Industrial conglomerates</t>
  </si>
  <si>
    <t>Investment Company</t>
  </si>
  <si>
    <t>Financial conglomerates</t>
  </si>
  <si>
    <t>Packaged Foods</t>
  </si>
  <si>
    <t>Food: major diversified</t>
  </si>
  <si>
    <t>Speciality Retail</t>
  </si>
  <si>
    <t>Specialty stores</t>
  </si>
  <si>
    <t>Digital Entertainment</t>
  </si>
  <si>
    <t>Movies/Entertainment</t>
  </si>
  <si>
    <t>Heavy Electrical Equipment</t>
  </si>
  <si>
    <t>Electrical products</t>
  </si>
  <si>
    <t>Civil Construction</t>
  </si>
  <si>
    <t>Engineering &amp; construction</t>
  </si>
  <si>
    <t>Trading &amp; Distributors</t>
  </si>
  <si>
    <t>Wholesale distributors</t>
  </si>
  <si>
    <t>Residential, Commercial Projects</t>
  </si>
  <si>
    <t>Real estate development</t>
  </si>
  <si>
    <t>Other Agricultural Products</t>
  </si>
  <si>
    <t>Agricultural commodities/Milling</t>
  </si>
  <si>
    <t>Iron &amp; Steel Products</t>
  </si>
  <si>
    <t>Steel</t>
  </si>
  <si>
    <t>Trading - Chemicals</t>
  </si>
  <si>
    <t>Chemicals: specialty</t>
  </si>
  <si>
    <t>Non Banking Financial Company (NBFC)</t>
  </si>
  <si>
    <t>Finance/Rental/Leasing</t>
  </si>
  <si>
    <t>Miscellaneous</t>
  </si>
  <si>
    <t>Housing Finance Company</t>
  </si>
  <si>
    <t>Petrochemicals</t>
  </si>
  <si>
    <t>Chemicals: major diversified</t>
  </si>
  <si>
    <t>Personal Care</t>
  </si>
  <si>
    <t>Household/Personal care</t>
  </si>
  <si>
    <t>Offshore Support Solution Drilling</t>
  </si>
  <si>
    <t>Oilfield services/Equipment</t>
  </si>
  <si>
    <t>Other Textile Products</t>
  </si>
  <si>
    <t>Paper &amp; Paper Products</t>
  </si>
  <si>
    <t>Pulp &amp; paper</t>
  </si>
  <si>
    <t>Other Financial Services</t>
  </si>
  <si>
    <t>Pharmaceuticals</t>
  </si>
  <si>
    <t>Pharmaceuticals: generic</t>
  </si>
  <si>
    <t>Trading - Textile Products</t>
  </si>
  <si>
    <t>Industrial Products</t>
  </si>
  <si>
    <t>Industrial specialties</t>
  </si>
  <si>
    <t>Specialty Chemicals</t>
  </si>
  <si>
    <t>Diversified Commercial Services</t>
  </si>
  <si>
    <t>Hospital</t>
  </si>
  <si>
    <t>Hospital/Nursing management</t>
  </si>
  <si>
    <t>Trading - Metals</t>
  </si>
  <si>
    <t>Holding Company</t>
  </si>
  <si>
    <t>Road Transport</t>
  </si>
  <si>
    <t>Trucking</t>
  </si>
  <si>
    <t>Castings &amp; Forgings</t>
  </si>
  <si>
    <t>Software Products</t>
  </si>
  <si>
    <t>Packaged software</t>
  </si>
  <si>
    <t>Other Food Products</t>
  </si>
  <si>
    <t>Other Industrial Products</t>
  </si>
  <si>
    <t>Shipping</t>
  </si>
  <si>
    <t>Marine shipping</t>
  </si>
  <si>
    <t>Cement &amp; Cement Products</t>
  </si>
  <si>
    <t>Construction materials</t>
  </si>
  <si>
    <t>Other Telecom Services</t>
  </si>
  <si>
    <t>Major telecommunications</t>
  </si>
  <si>
    <t>Logistics Solution Provider</t>
  </si>
  <si>
    <t>Education</t>
  </si>
  <si>
    <t>Distributors</t>
  </si>
  <si>
    <t>Computers Hardware &amp; Equipments</t>
  </si>
  <si>
    <t>Power Generation</t>
  </si>
  <si>
    <t>Electric utilities</t>
  </si>
  <si>
    <t>Construction Vehicles</t>
  </si>
  <si>
    <t>Power Distribution</t>
  </si>
  <si>
    <t>Trading - Minerals</t>
  </si>
  <si>
    <t>Integrated Power Utilities</t>
  </si>
  <si>
    <t>Integrated oil</t>
  </si>
  <si>
    <t>Pesticides &amp; Agrochemicals</t>
  </si>
  <si>
    <t>Broadcasting</t>
  </si>
  <si>
    <t>E-Learning</t>
  </si>
  <si>
    <t>Healthcare Research, Analytics &amp; Technology</t>
  </si>
  <si>
    <t>Plywood Boards/ Laminates</t>
  </si>
  <si>
    <t>Asset Management Company</t>
  </si>
  <si>
    <t>Investment managers</t>
  </si>
  <si>
    <t>Diversified Retail</t>
  </si>
  <si>
    <t>Cables - Electricals</t>
  </si>
  <si>
    <t>Commodity Chemicals</t>
  </si>
  <si>
    <t>Biotechnology</t>
  </si>
  <si>
    <t>Hotels &amp; Resorts</t>
  </si>
  <si>
    <t>Hotels/Resorts/Cruise lines</t>
  </si>
  <si>
    <t>Trading - Gas</t>
  </si>
  <si>
    <t>Oil &amp; gas production</t>
  </si>
  <si>
    <t>Oil Storage &amp; Transportation</t>
  </si>
  <si>
    <t>Aerospace &amp; Defense</t>
  </si>
  <si>
    <t>Aerospace &amp; defense</t>
  </si>
  <si>
    <t>Glass - Industrial</t>
  </si>
  <si>
    <t>Breweries &amp; Distilleries</t>
  </si>
  <si>
    <t>Textiles</t>
  </si>
  <si>
    <t>Financial Technology (Fintech)</t>
  </si>
  <si>
    <t>Financial publishing/Services</t>
  </si>
  <si>
    <t>Home furnishings</t>
  </si>
  <si>
    <t>Jute &amp; Jute Products</t>
  </si>
  <si>
    <t>Plastic Products - Industrial</t>
  </si>
  <si>
    <t>Edible Oil</t>
  </si>
  <si>
    <t>Gems, Jewellery And Watches</t>
  </si>
  <si>
    <t>Animal Feed</t>
  </si>
  <si>
    <t>Amusement Parks/ Other Recreation</t>
  </si>
  <si>
    <t>Other Electrical Equipment</t>
  </si>
  <si>
    <t>Auto Components &amp; Equipments</t>
  </si>
  <si>
    <t>Auto parts: OEM</t>
  </si>
  <si>
    <t>Leather And Leather Products</t>
  </si>
  <si>
    <t>Apparel/Footwear</t>
  </si>
  <si>
    <t>Dyes And Pigments</t>
  </si>
  <si>
    <t>Film Production, Distribution &amp; Exhibition</t>
  </si>
  <si>
    <t>Stationary</t>
  </si>
  <si>
    <t>Aluminium, Copper &amp; Zinc Products</t>
  </si>
  <si>
    <t>Precious Metals</t>
  </si>
  <si>
    <t>Household Appliances</t>
  </si>
  <si>
    <t>Household Products</t>
  </si>
  <si>
    <t>Rubber</t>
  </si>
  <si>
    <t>Medical Equipment &amp; Supplies</t>
  </si>
  <si>
    <t>Medical distributors</t>
  </si>
  <si>
    <t>Financial Products Distributor</t>
  </si>
  <si>
    <t>Tea &amp; Coffee</t>
  </si>
  <si>
    <t>Beverages: non-alcoholic</t>
  </si>
  <si>
    <t>Iron &amp; Steel</t>
  </si>
  <si>
    <t>Trading - Coal</t>
  </si>
  <si>
    <t>Other Beverages</t>
  </si>
  <si>
    <t>Oil Exploration &amp; Production</t>
  </si>
  <si>
    <t>Waste Management</t>
  </si>
  <si>
    <t>Environmental services</t>
  </si>
  <si>
    <t>Power - Transmission</t>
  </si>
  <si>
    <t>Water Supply &amp; Management</t>
  </si>
  <si>
    <t>Seafood</t>
  </si>
  <si>
    <t>Tyres &amp; Rubber Products</t>
  </si>
  <si>
    <t>Lubricants</t>
  </si>
  <si>
    <t>Leisure Products</t>
  </si>
  <si>
    <t>Aluminium</t>
  </si>
  <si>
    <t>Consumer Electronics</t>
  </si>
  <si>
    <t>Electronics/Appliances</t>
  </si>
  <si>
    <t>Other Construction Materials</t>
  </si>
  <si>
    <t>Granites &amp; Marbles</t>
  </si>
  <si>
    <t>Commercial Vehicles</t>
  </si>
  <si>
    <t>Oil Equipment &amp; Services</t>
  </si>
  <si>
    <t>Ceramics</t>
  </si>
  <si>
    <t>Paints</t>
  </si>
  <si>
    <t>Food Storage Facilities</t>
  </si>
  <si>
    <t>2/3 Wheelers</t>
  </si>
  <si>
    <t>Cycles</t>
  </si>
  <si>
    <t>Other Bank</t>
  </si>
  <si>
    <t>Regional banks</t>
  </si>
  <si>
    <t>Electrodes &amp; Refractories</t>
  </si>
  <si>
    <t>Sugar</t>
  </si>
  <si>
    <t>Plastic Products - Consumer</t>
  </si>
  <si>
    <t>Private Sector Bank</t>
  </si>
  <si>
    <t>Refineries &amp; Marketing</t>
  </si>
  <si>
    <t>Oil refining/Marketing</t>
  </si>
  <si>
    <t>Real Estate Investment Trusts (REITs)</t>
  </si>
  <si>
    <t>Real estate investment trusts</t>
  </si>
  <si>
    <t>Media &amp; Entertainment</t>
  </si>
  <si>
    <t>Media conglomerates</t>
  </si>
  <si>
    <t>Public Sector Bank</t>
  </si>
  <si>
    <t>Footwear</t>
  </si>
  <si>
    <t>Depositories, Clearing Houses and Other Intermediaries</t>
  </si>
  <si>
    <t>Explosives</t>
  </si>
  <si>
    <t>Industrial Gases</t>
  </si>
  <si>
    <t>Copper</t>
  </si>
  <si>
    <t>Coal</t>
  </si>
  <si>
    <t>Telecom - Cellular &amp; Fixed line services</t>
  </si>
  <si>
    <t>Sponge Iron</t>
  </si>
  <si>
    <t>Transport Related Services</t>
  </si>
  <si>
    <t>Tour, Travel Related Services</t>
  </si>
  <si>
    <t>Other Consumer Services</t>
  </si>
  <si>
    <t>Diversified Metals</t>
  </si>
  <si>
    <t>Advertising &amp; Media Agencies</t>
  </si>
  <si>
    <t>Exchange and Data Platform</t>
  </si>
  <si>
    <t>Life Insurance</t>
  </si>
  <si>
    <t>Life/Health insurance</t>
  </si>
  <si>
    <t>Abrasives &amp; Bearings</t>
  </si>
  <si>
    <t>Ratings</t>
  </si>
  <si>
    <t>Sanitary Ware</t>
  </si>
  <si>
    <t>Printing &amp; Publication</t>
  </si>
  <si>
    <t>Ferro &amp; Silica Manganese</t>
  </si>
  <si>
    <t>Print Media</t>
  </si>
  <si>
    <t>Ship Building &amp; Allied Services</t>
  </si>
  <si>
    <t>Restaurants</t>
  </si>
  <si>
    <t>Microfinance Institutions</t>
  </si>
  <si>
    <t>Internet &amp; Catalogue Retail</t>
  </si>
  <si>
    <t>Compressors, Pumps &amp; Diesel Engines</t>
  </si>
  <si>
    <t>Electronic Media</t>
  </si>
  <si>
    <t>Diversified FMCG</t>
  </si>
  <si>
    <t>Printing Inks</t>
  </si>
  <si>
    <t>Dairy Products</t>
  </si>
  <si>
    <t>Airport &amp; Airport services</t>
  </si>
  <si>
    <t>Dredging</t>
  </si>
  <si>
    <t>Meat Products including Poultry</t>
  </si>
  <si>
    <t>Cigarettes &amp; Tobacco Products</t>
  </si>
  <si>
    <t>Gas Transmission/Marketing</t>
  </si>
  <si>
    <t>Pharmacy Retail</t>
  </si>
  <si>
    <t>Tractors</t>
  </si>
  <si>
    <t>Other Utilities</t>
  </si>
  <si>
    <t>Airline</t>
  </si>
  <si>
    <t>Airlines</t>
  </si>
  <si>
    <t>Passenger Cars &amp; Utility Vehicles</t>
  </si>
  <si>
    <t>General Insurance</t>
  </si>
  <si>
    <t>Property/Casualty insurance</t>
  </si>
  <si>
    <t>Financial Institution</t>
  </si>
  <si>
    <t>Carbon Black</t>
  </si>
  <si>
    <t>Zinc</t>
  </si>
  <si>
    <t>Real Estate related services</t>
  </si>
  <si>
    <t>Trading - Auto components</t>
  </si>
  <si>
    <t>Forest Products</t>
  </si>
  <si>
    <t>Dealers-Commercial Vehicles, Tractors, Construction Vehicles</t>
  </si>
  <si>
    <t>Railway Wagons</t>
  </si>
  <si>
    <t>Wellness</t>
  </si>
  <si>
    <t>Pig Iron</t>
  </si>
  <si>
    <t>Glass - Consumer</t>
  </si>
  <si>
    <t>Insurance Distributors</t>
  </si>
  <si>
    <t>Insurance brokers/Services</t>
  </si>
  <si>
    <t>Data Processing Services</t>
  </si>
  <si>
    <t>Power Trading</t>
  </si>
  <si>
    <t>Multi Utilities</t>
  </si>
  <si>
    <t>Diversified consumer products</t>
  </si>
  <si>
    <t>Advertising/Marketing services</t>
  </si>
  <si>
    <t>Air freight/Couriers</t>
  </si>
  <si>
    <t>Alternative power generation</t>
  </si>
  <si>
    <t>Aluminum</t>
  </si>
  <si>
    <t>Apparel/Footwear retail</t>
  </si>
  <si>
    <t>Automotive aftermarket</t>
  </si>
  <si>
    <t>Beverages: alcoholic</t>
  </si>
  <si>
    <t>Building products</t>
  </si>
  <si>
    <t>Cable/Satellite TV</t>
  </si>
  <si>
    <t>Casinos/Gaming</t>
  </si>
  <si>
    <t>Catalog/Specialty distribution</t>
  </si>
  <si>
    <t>Chemicals: agricultural</t>
  </si>
  <si>
    <t>Commercial printing/Forms</t>
  </si>
  <si>
    <t>Computer communications</t>
  </si>
  <si>
    <t>Computer peripherals</t>
  </si>
  <si>
    <t>Computer processing hardware</t>
  </si>
  <si>
    <t>Consumer sundries</t>
  </si>
  <si>
    <t>Contract drilling</t>
  </si>
  <si>
    <t>Data processing services</t>
  </si>
  <si>
    <t>Department stores</t>
  </si>
  <si>
    <t>Discount stores</t>
  </si>
  <si>
    <t>Drugstore chains</t>
  </si>
  <si>
    <t>Electronic components</t>
  </si>
  <si>
    <t>Electronic equipment/Instruments</t>
  </si>
  <si>
    <t>Electronic production equipment</t>
  </si>
  <si>
    <t>Electronics distributors</t>
  </si>
  <si>
    <t>Electronics/Appliance stores</t>
  </si>
  <si>
    <t>Food distributors</t>
  </si>
  <si>
    <t>Food retail</t>
  </si>
  <si>
    <t>Food: meat/fish/dairy</t>
  </si>
  <si>
    <t>Food: specialty/candy</t>
  </si>
  <si>
    <t>Forest products</t>
  </si>
  <si>
    <t>Gas distributors</t>
  </si>
  <si>
    <t>General government</t>
  </si>
  <si>
    <t>Home improvement chains</t>
  </si>
  <si>
    <t>Homebuilding</t>
  </si>
  <si>
    <t>Industrial machinery</t>
  </si>
  <si>
    <t>Internet retail</t>
  </si>
  <si>
    <t>Internet software/Services</t>
  </si>
  <si>
    <t>Investment trusts/Mutual funds</t>
  </si>
  <si>
    <t>Major banks</t>
  </si>
  <si>
    <t>Managed health care</t>
  </si>
  <si>
    <t>Medical specialties</t>
  </si>
  <si>
    <t>Metal fabrication</t>
  </si>
  <si>
    <t>Miscellaneous commercial services</t>
  </si>
  <si>
    <t>Miscellaneous manufacturing</t>
  </si>
  <si>
    <t>Motor vehicles</t>
  </si>
  <si>
    <t>Multi-line insurance</t>
  </si>
  <si>
    <t>Office equipment/Supplies</t>
  </si>
  <si>
    <t>Oil &amp; gas pipelines</t>
  </si>
  <si>
    <t>Other consumer services</t>
  </si>
  <si>
    <t>Other consumer specialties</t>
  </si>
  <si>
    <t>Other transportation</t>
  </si>
  <si>
    <t>Personnel services</t>
  </si>
  <si>
    <t>Pharmaceuticals: major</t>
  </si>
  <si>
    <t>Pharmaceuticals: other</t>
  </si>
  <si>
    <t>Precious metals</t>
  </si>
  <si>
    <t>Publishing: books/magazines</t>
  </si>
  <si>
    <t>Publishing: newspapers</t>
  </si>
  <si>
    <t>Railroads</t>
  </si>
  <si>
    <t>Recreational products</t>
  </si>
  <si>
    <t>Savings banks</t>
  </si>
  <si>
    <t>Semiconductors</t>
  </si>
  <si>
    <t>Services to the health industry</t>
  </si>
  <si>
    <t>Specialty insurance</t>
  </si>
  <si>
    <t>Specialty telecommunications</t>
  </si>
  <si>
    <t>Telecommunications equipment</t>
  </si>
  <si>
    <t>Tobacco</t>
  </si>
  <si>
    <t>Tools &amp; hardware</t>
  </si>
  <si>
    <t>Trucks/Construction/Farm machinery</t>
  </si>
  <si>
    <t>Water utilities</t>
  </si>
  <si>
    <t>Wireless telecommunications</t>
  </si>
  <si>
    <t>Sectors</t>
  </si>
  <si>
    <t>SCS Sectors</t>
  </si>
  <si>
    <t>Industry</t>
  </si>
  <si>
    <t>Sector</t>
  </si>
  <si>
    <t>Economic Model</t>
  </si>
  <si>
    <t>Tier-1 KPI Template</t>
  </si>
  <si>
    <t>Tier-2 KPI Template - Narrower - for deep research</t>
  </si>
  <si>
    <t>Commercial services</t>
  </si>
  <si>
    <t>Other</t>
  </si>
  <si>
    <t>Fee Based Services</t>
  </si>
  <si>
    <t>Infrastructure Template</t>
  </si>
  <si>
    <t>Commercial Services</t>
  </si>
  <si>
    <t>Electronic technology</t>
  </si>
  <si>
    <t>Industrial Manufacturing</t>
  </si>
  <si>
    <t>Defence</t>
  </si>
  <si>
    <t>Process industries</t>
  </si>
  <si>
    <t>Commodity Producer</t>
  </si>
  <si>
    <t>Commodity Template</t>
  </si>
  <si>
    <t>Agri Processing</t>
  </si>
  <si>
    <t>Transportation</t>
  </si>
  <si>
    <t>Asset Utilization</t>
  </si>
  <si>
    <t>Asset Utilization Template</t>
  </si>
  <si>
    <t>Logistics</t>
  </si>
  <si>
    <t>Utilities</t>
  </si>
  <si>
    <t>Utility</t>
  </si>
  <si>
    <t>Utility Template</t>
  </si>
  <si>
    <t>Renewables</t>
  </si>
  <si>
    <t>Non-energy minerals</t>
  </si>
  <si>
    <t>Cement Chemical Metal</t>
  </si>
  <si>
    <t>Metals &amp; Mining</t>
  </si>
  <si>
    <t>Consumer non-durables</t>
  </si>
  <si>
    <t>Consumption &amp; FMCG</t>
  </si>
  <si>
    <t>Brand Franchise</t>
  </si>
  <si>
    <t>Consumer Brand Template</t>
  </si>
  <si>
    <t>FMCG/Consumer Brands</t>
  </si>
  <si>
    <t>Retail trade</t>
  </si>
  <si>
    <t>Store Economics</t>
  </si>
  <si>
    <t>Retail Template</t>
  </si>
  <si>
    <t>Retail</t>
  </si>
  <si>
    <t>Producer manufacturing</t>
  </si>
  <si>
    <t>Auto</t>
  </si>
  <si>
    <t>Manufacturing</t>
  </si>
  <si>
    <t>Manufacturing Template</t>
  </si>
  <si>
    <t>Auto Ancillary</t>
  </si>
  <si>
    <t>Consumer durables</t>
  </si>
  <si>
    <t>Health technology</t>
  </si>
  <si>
    <t>Healthcare</t>
  </si>
  <si>
    <t>Contract Research</t>
  </si>
  <si>
    <t>Specialty Manufacturing Template</t>
  </si>
  <si>
    <t>CDMO/CRAMS</t>
  </si>
  <si>
    <t>Consumer services</t>
  </si>
  <si>
    <t>Media</t>
  </si>
  <si>
    <t>Building Materials</t>
  </si>
  <si>
    <t>Consumer Services</t>
  </si>
  <si>
    <t>Hospitality &amp; Leisure</t>
  </si>
  <si>
    <t>Distribution</t>
  </si>
  <si>
    <t>Energy minerals</t>
  </si>
  <si>
    <t>IT</t>
  </si>
  <si>
    <t>Technology Manufacturing</t>
  </si>
  <si>
    <t>Electronics &amp; Hardware</t>
  </si>
  <si>
    <t>Cement</t>
  </si>
  <si>
    <t>Industrial services</t>
  </si>
  <si>
    <t>Oil &amp; Gas</t>
  </si>
  <si>
    <t>Oilfield Services</t>
  </si>
  <si>
    <t>Technology services</t>
  </si>
  <si>
    <t>Platform</t>
  </si>
  <si>
    <t>Technology Template</t>
  </si>
  <si>
    <t>Internet Platforms</t>
  </si>
  <si>
    <t>Regulated Utility</t>
  </si>
  <si>
    <t>Power Utilities</t>
  </si>
  <si>
    <t>Capital Goods</t>
  </si>
  <si>
    <t>Distribution services</t>
  </si>
  <si>
    <t>Consumer Manufacturing</t>
  </si>
  <si>
    <t>Consumer Durables</t>
  </si>
  <si>
    <t>Project Execution</t>
  </si>
  <si>
    <t>EPC/Infrastructure</t>
  </si>
  <si>
    <t>Utility Services</t>
  </si>
  <si>
    <t>Finance</t>
  </si>
  <si>
    <t>Leveraged Lending</t>
  </si>
  <si>
    <t>Lending Template</t>
  </si>
  <si>
    <t>NBFC/HFC</t>
  </si>
  <si>
    <t>Capital Allocation</t>
  </si>
  <si>
    <t>Capital Allocation Template</t>
  </si>
  <si>
    <t>Holding Companies</t>
  </si>
  <si>
    <t>Information Services</t>
  </si>
  <si>
    <t>Utility Infrastructure</t>
  </si>
  <si>
    <t>Energy Utilities</t>
  </si>
  <si>
    <t>Government</t>
  </si>
  <si>
    <t>Others</t>
  </si>
  <si>
    <t>Consumer Brand</t>
  </si>
  <si>
    <t>Development</t>
  </si>
  <si>
    <t>Real Estate Template</t>
  </si>
  <si>
    <t>Real Estate</t>
  </si>
  <si>
    <t>Health services</t>
  </si>
  <si>
    <t>Capacity Utilization</t>
  </si>
  <si>
    <t>Hospitals</t>
  </si>
  <si>
    <t>Human Capital Services</t>
  </si>
  <si>
    <t>IT Services</t>
  </si>
  <si>
    <t>Fee Based Financial</t>
  </si>
  <si>
    <t>Asset Management Template</t>
  </si>
  <si>
    <t>Insurance Distribution</t>
  </si>
  <si>
    <t>Processing</t>
  </si>
  <si>
    <t>Refining &amp; Marketing</t>
  </si>
  <si>
    <t>Broking/Investment Banking</t>
  </si>
  <si>
    <t>AMC/Asset Management</t>
  </si>
  <si>
    <t>Insurance Float</t>
  </si>
  <si>
    <t>Insurance Template</t>
  </si>
  <si>
    <t>Spread-Based Lending</t>
  </si>
  <si>
    <t>Banking</t>
  </si>
  <si>
    <t>Communications</t>
  </si>
  <si>
    <t>Network Utility</t>
  </si>
  <si>
    <t>Telecom</t>
  </si>
  <si>
    <t>Healthcare Services</t>
  </si>
  <si>
    <t>Diagnostics/Healthcare Services</t>
  </si>
  <si>
    <t>Auto OEM</t>
  </si>
  <si>
    <t>Resource Extraction</t>
  </si>
  <si>
    <t>Oil &amp; Gas Upstream</t>
  </si>
  <si>
    <t>Subscription Revenue</t>
  </si>
  <si>
    <t>Software/SaaS</t>
  </si>
  <si>
    <t>IP + Manufacturing</t>
  </si>
  <si>
    <t>Pharma</t>
  </si>
  <si>
    <t>Paper</t>
  </si>
  <si>
    <t>Yield Asset</t>
  </si>
  <si>
    <t>REIT/InvIT</t>
  </si>
  <si>
    <t>QSR/Restaurants</t>
  </si>
  <si>
    <t>Water Utilities</t>
  </si>
  <si>
    <t xml:space="preserve"> </t>
  </si>
  <si>
    <t>Template</t>
  </si>
  <si>
    <t>190_Industry</t>
  </si>
  <si>
    <t>Auto Dealer</t>
  </si>
  <si>
    <t>Business Process Outsourcing (BPO)/ Knowledge Process Outsourcing (KPO)</t>
  </si>
  <si>
    <t>Computers - Software &amp; Consulting</t>
  </si>
  <si>
    <t>Consulting Services</t>
  </si>
  <si>
    <t>E-Retail/ E-Commerce</t>
  </si>
  <si>
    <t>Furniture, Home Furnishing</t>
  </si>
  <si>
    <t>Garments &amp; Apparels</t>
  </si>
  <si>
    <t>Houseware</t>
  </si>
  <si>
    <t>LPG/CNG/PNG/LNG Supplier</t>
  </si>
  <si>
    <t>Port &amp; Port services</t>
  </si>
  <si>
    <t>Road AssetsToll, Annuity, Hybrid-Annuity</t>
  </si>
  <si>
    <t>Telecom -  Equipment &amp; Accessories</t>
  </si>
  <si>
    <t>Telecom - Infrastructure</t>
  </si>
  <si>
    <t>TV Broadcasting &amp; Software Production</t>
  </si>
  <si>
    <t>Web based media and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</si>
</sst>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wrapText="1"/>
    </xf>
    <xf numFmtId="0" fontId="5" fillId="0" borderId="1" xfId="0" applyFont="1" applyBorder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A0BE-BA1E-46D5-B337-BFB9F9B4C53A}">
  <dimension ref="A1:F131"/>
  <sheetViews>
    <sheetView topLeftCell="A103" workbookViewId="0"/>
  </sheetViews>
  <sheetFormatPr defaultRowHeight="14.4" x14ac:dyDescent="0.3"/>
  <cols>
    <col min="1" max="1" width="31.77734375" bestFit="1" customWidth="1"/>
    <col min="2" max="2" width="20.77734375" bestFit="1" customWidth="1"/>
    <col min="3" max="3" width="20.6640625" bestFit="1" customWidth="1"/>
    <col min="4" max="4" width="23" bestFit="1" customWidth="1"/>
    <col min="5" max="5" width="29.109375" bestFit="1" customWidth="1"/>
    <col min="6" max="6" width="43.88671875" bestFit="1" customWidth="1"/>
  </cols>
  <sheetData>
    <row r="1" spans="1:6" ht="15" thickBot="1" x14ac:dyDescent="0.35">
      <c r="A1" s="4" t="s">
        <v>304</v>
      </c>
      <c r="B1" s="5" t="s">
        <v>305</v>
      </c>
      <c r="C1" s="4" t="s">
        <v>303</v>
      </c>
      <c r="D1" s="4" t="s">
        <v>306</v>
      </c>
      <c r="E1" s="4" t="s">
        <v>307</v>
      </c>
      <c r="F1" s="6" t="s">
        <v>308</v>
      </c>
    </row>
    <row r="2" spans="1:6" x14ac:dyDescent="0.3">
      <c r="A2" s="2" t="s">
        <v>230</v>
      </c>
      <c r="B2" s="2" t="s">
        <v>309</v>
      </c>
      <c r="C2" s="2" t="s">
        <v>310</v>
      </c>
      <c r="D2" s="2" t="s">
        <v>311</v>
      </c>
      <c r="E2" s="2" t="s">
        <v>312</v>
      </c>
      <c r="F2" s="2" t="s">
        <v>313</v>
      </c>
    </row>
    <row r="3" spans="1:6" x14ac:dyDescent="0.3">
      <c r="A3" s="2" t="s">
        <v>101</v>
      </c>
      <c r="B3" s="2" t="s">
        <v>314</v>
      </c>
      <c r="C3" s="2" t="s">
        <v>310</v>
      </c>
      <c r="D3" s="2" t="s">
        <v>315</v>
      </c>
      <c r="E3" s="2" t="s">
        <v>312</v>
      </c>
      <c r="F3" s="2" t="s">
        <v>316</v>
      </c>
    </row>
    <row r="4" spans="1:6" x14ac:dyDescent="0.3">
      <c r="A4" s="2" t="s">
        <v>30</v>
      </c>
      <c r="B4" s="2" t="s">
        <v>317</v>
      </c>
      <c r="C4" s="2" t="s">
        <v>310</v>
      </c>
      <c r="D4" s="2" t="s">
        <v>318</v>
      </c>
      <c r="E4" s="2" t="s">
        <v>319</v>
      </c>
      <c r="F4" s="2" t="s">
        <v>320</v>
      </c>
    </row>
    <row r="5" spans="1:6" x14ac:dyDescent="0.3">
      <c r="A5" s="2" t="s">
        <v>231</v>
      </c>
      <c r="B5" s="2" t="s">
        <v>321</v>
      </c>
      <c r="C5" s="2" t="s">
        <v>310</v>
      </c>
      <c r="D5" s="2" t="s">
        <v>322</v>
      </c>
      <c r="E5" s="2" t="s">
        <v>323</v>
      </c>
      <c r="F5" s="2" t="s">
        <v>324</v>
      </c>
    </row>
    <row r="6" spans="1:6" x14ac:dyDescent="0.3">
      <c r="A6" s="2" t="s">
        <v>209</v>
      </c>
      <c r="B6" s="2" t="s">
        <v>321</v>
      </c>
      <c r="C6" s="2" t="s">
        <v>310</v>
      </c>
      <c r="D6" s="2" t="s">
        <v>322</v>
      </c>
      <c r="E6" s="2" t="s">
        <v>323</v>
      </c>
      <c r="F6" s="2" t="s">
        <v>324</v>
      </c>
    </row>
    <row r="7" spans="1:6" x14ac:dyDescent="0.3">
      <c r="A7" s="2" t="s">
        <v>232</v>
      </c>
      <c r="B7" s="2" t="s">
        <v>325</v>
      </c>
      <c r="C7" s="2" t="s">
        <v>310</v>
      </c>
      <c r="D7" s="2" t="s">
        <v>326</v>
      </c>
      <c r="E7" s="2" t="s">
        <v>327</v>
      </c>
      <c r="F7" s="2" t="s">
        <v>328</v>
      </c>
    </row>
    <row r="8" spans="1:6" x14ac:dyDescent="0.3">
      <c r="A8" s="2" t="s">
        <v>233</v>
      </c>
      <c r="B8" s="2" t="s">
        <v>329</v>
      </c>
      <c r="C8" s="2" t="s">
        <v>330</v>
      </c>
      <c r="D8" s="2" t="s">
        <v>318</v>
      </c>
      <c r="E8" s="2" t="s">
        <v>319</v>
      </c>
      <c r="F8" s="2" t="s">
        <v>331</v>
      </c>
    </row>
    <row r="9" spans="1:6" x14ac:dyDescent="0.3">
      <c r="A9" s="2" t="s">
        <v>118</v>
      </c>
      <c r="B9" s="2" t="s">
        <v>332</v>
      </c>
      <c r="C9" s="2" t="s">
        <v>333</v>
      </c>
      <c r="D9" s="2" t="s">
        <v>334</v>
      </c>
      <c r="E9" s="2" t="s">
        <v>335</v>
      </c>
      <c r="F9" s="2" t="s">
        <v>336</v>
      </c>
    </row>
    <row r="10" spans="1:6" x14ac:dyDescent="0.3">
      <c r="A10" s="2" t="s">
        <v>234</v>
      </c>
      <c r="B10" s="2" t="s">
        <v>337</v>
      </c>
      <c r="C10" s="2" t="s">
        <v>310</v>
      </c>
      <c r="D10" s="2" t="s">
        <v>338</v>
      </c>
      <c r="E10" s="2" t="s">
        <v>339</v>
      </c>
      <c r="F10" s="2" t="s">
        <v>340</v>
      </c>
    </row>
    <row r="11" spans="1:6" x14ac:dyDescent="0.3">
      <c r="A11" s="2" t="s">
        <v>116</v>
      </c>
      <c r="B11" s="2" t="s">
        <v>341</v>
      </c>
      <c r="C11" s="2" t="s">
        <v>342</v>
      </c>
      <c r="D11" s="2" t="s">
        <v>343</v>
      </c>
      <c r="E11" s="2" t="s">
        <v>344</v>
      </c>
      <c r="F11" s="2" t="s">
        <v>345</v>
      </c>
    </row>
    <row r="12" spans="1:6" x14ac:dyDescent="0.3">
      <c r="A12" s="2" t="s">
        <v>235</v>
      </c>
      <c r="B12" s="2" t="s">
        <v>346</v>
      </c>
      <c r="C12" s="2" t="s">
        <v>342</v>
      </c>
      <c r="D12" s="2" t="s">
        <v>343</v>
      </c>
      <c r="E12" s="2" t="s">
        <v>344</v>
      </c>
      <c r="F12" s="2" t="s">
        <v>345</v>
      </c>
    </row>
    <row r="13" spans="1:6" x14ac:dyDescent="0.3">
      <c r="A13" s="2" t="s">
        <v>236</v>
      </c>
      <c r="B13" s="2" t="s">
        <v>332</v>
      </c>
      <c r="C13" s="2" t="s">
        <v>333</v>
      </c>
      <c r="D13" s="2" t="s">
        <v>334</v>
      </c>
      <c r="E13" s="2" t="s">
        <v>335</v>
      </c>
      <c r="F13" s="2" t="s">
        <v>336</v>
      </c>
    </row>
    <row r="14" spans="1:6" x14ac:dyDescent="0.3">
      <c r="A14" s="2" t="s">
        <v>131</v>
      </c>
      <c r="B14" s="2" t="s">
        <v>332</v>
      </c>
      <c r="C14" s="2" t="s">
        <v>333</v>
      </c>
      <c r="D14" s="2" t="s">
        <v>334</v>
      </c>
      <c r="E14" s="2" t="s">
        <v>335</v>
      </c>
      <c r="F14" s="2" t="s">
        <v>336</v>
      </c>
    </row>
    <row r="15" spans="1:6" x14ac:dyDescent="0.3">
      <c r="A15" s="2" t="s">
        <v>94</v>
      </c>
      <c r="B15" s="2" t="s">
        <v>347</v>
      </c>
      <c r="C15" s="2" t="s">
        <v>348</v>
      </c>
      <c r="D15" s="2" t="s">
        <v>349</v>
      </c>
      <c r="E15" s="2" t="s">
        <v>350</v>
      </c>
      <c r="F15" s="2" t="s">
        <v>351</v>
      </c>
    </row>
    <row r="16" spans="1:6" x14ac:dyDescent="0.3">
      <c r="A16" s="2" t="s">
        <v>85</v>
      </c>
      <c r="B16" s="2" t="s">
        <v>352</v>
      </c>
      <c r="C16" s="2" t="s">
        <v>310</v>
      </c>
      <c r="D16" s="2" t="s">
        <v>353</v>
      </c>
      <c r="E16" s="2" t="s">
        <v>323</v>
      </c>
      <c r="F16" s="2" t="s">
        <v>353</v>
      </c>
    </row>
    <row r="17" spans="1:6" x14ac:dyDescent="0.3">
      <c r="A17" s="2" t="s">
        <v>237</v>
      </c>
      <c r="B17" s="2" t="s">
        <v>341</v>
      </c>
      <c r="C17" s="2" t="s">
        <v>310</v>
      </c>
      <c r="D17" s="2" t="s">
        <v>315</v>
      </c>
      <c r="E17" s="2" t="s">
        <v>312</v>
      </c>
      <c r="F17" s="2" t="s">
        <v>354</v>
      </c>
    </row>
    <row r="18" spans="1:6" x14ac:dyDescent="0.3">
      <c r="A18" s="2" t="s">
        <v>238</v>
      </c>
      <c r="B18" s="2" t="s">
        <v>352</v>
      </c>
      <c r="C18" s="2" t="s">
        <v>310</v>
      </c>
      <c r="D18" s="2" t="s">
        <v>353</v>
      </c>
      <c r="E18" s="2" t="s">
        <v>323</v>
      </c>
      <c r="F18" s="2" t="s">
        <v>353</v>
      </c>
    </row>
    <row r="19" spans="1:6" x14ac:dyDescent="0.3">
      <c r="A19" s="2" t="s">
        <v>239</v>
      </c>
      <c r="B19" s="2" t="s">
        <v>352</v>
      </c>
      <c r="C19" s="2" t="s">
        <v>310</v>
      </c>
      <c r="D19" s="2" t="s">
        <v>355</v>
      </c>
      <c r="E19" s="2" t="s">
        <v>323</v>
      </c>
      <c r="F19" s="2" t="s">
        <v>356</v>
      </c>
    </row>
    <row r="20" spans="1:6" x14ac:dyDescent="0.3">
      <c r="A20" s="2" t="s">
        <v>240</v>
      </c>
      <c r="B20" s="2" t="s">
        <v>337</v>
      </c>
      <c r="C20" s="2" t="s">
        <v>310</v>
      </c>
      <c r="D20" s="2" t="s">
        <v>357</v>
      </c>
      <c r="E20" s="2" t="s">
        <v>339</v>
      </c>
      <c r="F20" s="2" t="s">
        <v>357</v>
      </c>
    </row>
    <row r="21" spans="1:6" x14ac:dyDescent="0.3">
      <c r="A21" s="2" t="s">
        <v>241</v>
      </c>
      <c r="B21" s="2" t="s">
        <v>317</v>
      </c>
      <c r="C21" s="2" t="s">
        <v>330</v>
      </c>
      <c r="D21" s="2" t="s">
        <v>318</v>
      </c>
      <c r="E21" s="2" t="s">
        <v>319</v>
      </c>
      <c r="F21" s="2" t="s">
        <v>93</v>
      </c>
    </row>
    <row r="22" spans="1:6" x14ac:dyDescent="0.3">
      <c r="A22" s="2" t="s">
        <v>40</v>
      </c>
      <c r="B22" s="2" t="s">
        <v>317</v>
      </c>
      <c r="C22" s="2" t="s">
        <v>330</v>
      </c>
      <c r="D22" s="2" t="s">
        <v>318</v>
      </c>
      <c r="E22" s="2" t="s">
        <v>319</v>
      </c>
      <c r="F22" s="2" t="s">
        <v>93</v>
      </c>
    </row>
    <row r="23" spans="1:6" x14ac:dyDescent="0.3">
      <c r="A23" s="2" t="s">
        <v>34</v>
      </c>
      <c r="B23" s="2" t="s">
        <v>317</v>
      </c>
      <c r="C23" s="2" t="s">
        <v>330</v>
      </c>
      <c r="D23" s="2" t="s">
        <v>343</v>
      </c>
      <c r="E23" s="2" t="s">
        <v>344</v>
      </c>
      <c r="F23" s="2" t="s">
        <v>54</v>
      </c>
    </row>
    <row r="24" spans="1:6" x14ac:dyDescent="0.3">
      <c r="A24" s="2" t="s">
        <v>174</v>
      </c>
      <c r="B24" s="2" t="s">
        <v>358</v>
      </c>
      <c r="C24" s="2" t="s">
        <v>330</v>
      </c>
      <c r="D24" s="2" t="s">
        <v>318</v>
      </c>
      <c r="E24" s="2" t="s">
        <v>319</v>
      </c>
      <c r="F24" s="2" t="s">
        <v>331</v>
      </c>
    </row>
    <row r="25" spans="1:6" x14ac:dyDescent="0.3">
      <c r="A25" s="2" t="s">
        <v>242</v>
      </c>
      <c r="B25" s="2" t="s">
        <v>309</v>
      </c>
      <c r="C25" s="2" t="s">
        <v>310</v>
      </c>
      <c r="D25" s="2" t="s">
        <v>343</v>
      </c>
      <c r="E25" s="2" t="s">
        <v>344</v>
      </c>
      <c r="F25" s="2" t="s">
        <v>313</v>
      </c>
    </row>
    <row r="26" spans="1:6" x14ac:dyDescent="0.3">
      <c r="A26" s="2" t="s">
        <v>243</v>
      </c>
      <c r="B26" s="2" t="s">
        <v>314</v>
      </c>
      <c r="C26" s="2" t="s">
        <v>359</v>
      </c>
      <c r="D26" s="2" t="s">
        <v>360</v>
      </c>
      <c r="E26" s="2" t="s">
        <v>344</v>
      </c>
      <c r="F26" s="2" t="s">
        <v>361</v>
      </c>
    </row>
    <row r="27" spans="1:6" x14ac:dyDescent="0.3">
      <c r="A27" s="2" t="s">
        <v>244</v>
      </c>
      <c r="B27" s="2" t="s">
        <v>314</v>
      </c>
      <c r="C27" s="2" t="s">
        <v>310</v>
      </c>
      <c r="D27" s="2" t="s">
        <v>360</v>
      </c>
      <c r="E27" s="2" t="s">
        <v>344</v>
      </c>
      <c r="F27" s="2" t="s">
        <v>361</v>
      </c>
    </row>
    <row r="28" spans="1:6" x14ac:dyDescent="0.3">
      <c r="A28" s="2" t="s">
        <v>245</v>
      </c>
      <c r="B28" s="2" t="s">
        <v>314</v>
      </c>
      <c r="C28" s="2" t="s">
        <v>359</v>
      </c>
      <c r="D28" s="2" t="s">
        <v>360</v>
      </c>
      <c r="E28" s="2" t="s">
        <v>344</v>
      </c>
      <c r="F28" s="2" t="s">
        <v>361</v>
      </c>
    </row>
    <row r="29" spans="1:6" x14ac:dyDescent="0.3">
      <c r="A29" s="2" t="s">
        <v>70</v>
      </c>
      <c r="B29" s="2" t="s">
        <v>329</v>
      </c>
      <c r="C29" s="2" t="s">
        <v>330</v>
      </c>
      <c r="D29" s="2" t="s">
        <v>318</v>
      </c>
      <c r="E29" s="2" t="s">
        <v>319</v>
      </c>
      <c r="F29" s="2" t="s">
        <v>362</v>
      </c>
    </row>
    <row r="30" spans="1:6" x14ac:dyDescent="0.3">
      <c r="A30" s="2" t="s">
        <v>246</v>
      </c>
      <c r="B30" s="2" t="s">
        <v>332</v>
      </c>
      <c r="C30" s="2" t="s">
        <v>333</v>
      </c>
      <c r="D30" s="2" t="s">
        <v>334</v>
      </c>
      <c r="E30" s="2" t="s">
        <v>335</v>
      </c>
      <c r="F30" s="2" t="s">
        <v>336</v>
      </c>
    </row>
    <row r="31" spans="1:6" x14ac:dyDescent="0.3">
      <c r="A31" s="2" t="s">
        <v>8</v>
      </c>
      <c r="B31" s="2" t="s">
        <v>317</v>
      </c>
      <c r="C31" s="2" t="s">
        <v>310</v>
      </c>
      <c r="D31" s="2" t="s">
        <v>343</v>
      </c>
      <c r="E31" s="2" t="s">
        <v>344</v>
      </c>
      <c r="F31" s="2" t="s">
        <v>7</v>
      </c>
    </row>
    <row r="32" spans="1:6" x14ac:dyDescent="0.3">
      <c r="A32" s="2" t="s">
        <v>247</v>
      </c>
      <c r="B32" s="2" t="s">
        <v>363</v>
      </c>
      <c r="C32" s="2" t="s">
        <v>364</v>
      </c>
      <c r="D32" s="2" t="s">
        <v>365</v>
      </c>
      <c r="E32" s="2" t="s">
        <v>319</v>
      </c>
      <c r="F32" s="2" t="s">
        <v>365</v>
      </c>
    </row>
    <row r="33" spans="1:6" x14ac:dyDescent="0.3">
      <c r="A33" s="2" t="s">
        <v>248</v>
      </c>
      <c r="B33" s="2" t="s">
        <v>366</v>
      </c>
      <c r="C33" s="2" t="s">
        <v>359</v>
      </c>
      <c r="D33" s="2" t="s">
        <v>367</v>
      </c>
      <c r="E33" s="2" t="s">
        <v>368</v>
      </c>
      <c r="F33" s="2" t="s">
        <v>369</v>
      </c>
    </row>
    <row r="34" spans="1:6" x14ac:dyDescent="0.3">
      <c r="A34" s="2" t="s">
        <v>249</v>
      </c>
      <c r="B34" s="2" t="s">
        <v>337</v>
      </c>
      <c r="C34" s="2" t="s">
        <v>310</v>
      </c>
      <c r="D34" s="2" t="s">
        <v>338</v>
      </c>
      <c r="E34" s="2" t="s">
        <v>339</v>
      </c>
      <c r="F34" s="2" t="s">
        <v>340</v>
      </c>
    </row>
    <row r="35" spans="1:6" x14ac:dyDescent="0.3">
      <c r="A35" s="2" t="s">
        <v>250</v>
      </c>
      <c r="B35" s="2" t="s">
        <v>337</v>
      </c>
      <c r="C35" s="2" t="s">
        <v>310</v>
      </c>
      <c r="D35" s="2" t="s">
        <v>338</v>
      </c>
      <c r="E35" s="2" t="s">
        <v>339</v>
      </c>
      <c r="F35" s="2" t="s">
        <v>340</v>
      </c>
    </row>
    <row r="36" spans="1:6" x14ac:dyDescent="0.3">
      <c r="A36" s="2" t="s">
        <v>251</v>
      </c>
      <c r="B36" s="2" t="s">
        <v>337</v>
      </c>
      <c r="C36" s="2" t="s">
        <v>310</v>
      </c>
      <c r="D36" s="2" t="s">
        <v>338</v>
      </c>
      <c r="E36" s="2" t="s">
        <v>339</v>
      </c>
      <c r="F36" s="2" t="s">
        <v>340</v>
      </c>
    </row>
    <row r="37" spans="1:6" x14ac:dyDescent="0.3">
      <c r="A37" s="2" t="s">
        <v>78</v>
      </c>
      <c r="B37" s="2" t="s">
        <v>325</v>
      </c>
      <c r="C37" s="2" t="s">
        <v>310</v>
      </c>
      <c r="D37" s="2" t="s">
        <v>370</v>
      </c>
      <c r="E37" s="2" t="s">
        <v>327</v>
      </c>
      <c r="F37" s="2" t="s">
        <v>371</v>
      </c>
    </row>
    <row r="38" spans="1:6" x14ac:dyDescent="0.3">
      <c r="A38" s="2" t="s">
        <v>22</v>
      </c>
      <c r="B38" s="2" t="s">
        <v>341</v>
      </c>
      <c r="C38" s="2" t="s">
        <v>310</v>
      </c>
      <c r="D38" s="2" t="s">
        <v>315</v>
      </c>
      <c r="E38" s="2" t="s">
        <v>312</v>
      </c>
      <c r="F38" s="2" t="s">
        <v>372</v>
      </c>
    </row>
    <row r="39" spans="1:6" x14ac:dyDescent="0.3">
      <c r="A39" s="2" t="s">
        <v>252</v>
      </c>
      <c r="B39" s="2" t="s">
        <v>314</v>
      </c>
      <c r="C39" s="2" t="s">
        <v>310</v>
      </c>
      <c r="D39" s="2" t="s">
        <v>360</v>
      </c>
      <c r="E39" s="2" t="s">
        <v>344</v>
      </c>
      <c r="F39" s="2" t="s">
        <v>361</v>
      </c>
    </row>
    <row r="40" spans="1:6" x14ac:dyDescent="0.3">
      <c r="A40" s="2" t="s">
        <v>253</v>
      </c>
      <c r="B40" s="2" t="s">
        <v>314</v>
      </c>
      <c r="C40" s="2" t="s">
        <v>310</v>
      </c>
      <c r="D40" s="2" t="s">
        <v>360</v>
      </c>
      <c r="E40" s="2" t="s">
        <v>344</v>
      </c>
      <c r="F40" s="2" t="s">
        <v>361</v>
      </c>
    </row>
    <row r="41" spans="1:6" x14ac:dyDescent="0.3">
      <c r="A41" s="2" t="s">
        <v>254</v>
      </c>
      <c r="B41" s="2" t="s">
        <v>314</v>
      </c>
      <c r="C41" s="2" t="s">
        <v>310</v>
      </c>
      <c r="D41" s="2" t="s">
        <v>360</v>
      </c>
      <c r="E41" s="2" t="s">
        <v>344</v>
      </c>
      <c r="F41" s="2" t="s">
        <v>361</v>
      </c>
    </row>
    <row r="42" spans="1:6" x14ac:dyDescent="0.3">
      <c r="A42" s="2" t="s">
        <v>255</v>
      </c>
      <c r="B42" s="2" t="s">
        <v>373</v>
      </c>
      <c r="C42" s="2" t="s">
        <v>310</v>
      </c>
      <c r="D42" s="2" t="s">
        <v>357</v>
      </c>
      <c r="E42" s="2" t="s">
        <v>339</v>
      </c>
      <c r="F42" s="2" t="s">
        <v>357</v>
      </c>
    </row>
    <row r="43" spans="1:6" x14ac:dyDescent="0.3">
      <c r="A43" s="2" t="s">
        <v>256</v>
      </c>
      <c r="B43" s="2" t="s">
        <v>337</v>
      </c>
      <c r="C43" s="2" t="s">
        <v>310</v>
      </c>
      <c r="D43" s="2" t="s">
        <v>338</v>
      </c>
      <c r="E43" s="2" t="s">
        <v>339</v>
      </c>
      <c r="F43" s="2" t="s">
        <v>340</v>
      </c>
    </row>
    <row r="44" spans="1:6" x14ac:dyDescent="0.3">
      <c r="A44" s="2" t="s">
        <v>146</v>
      </c>
      <c r="B44" s="2" t="s">
        <v>346</v>
      </c>
      <c r="C44" s="2" t="s">
        <v>333</v>
      </c>
      <c r="D44" s="2" t="s">
        <v>374</v>
      </c>
      <c r="E44" s="2" t="s">
        <v>344</v>
      </c>
      <c r="F44" s="2" t="s">
        <v>375</v>
      </c>
    </row>
    <row r="45" spans="1:6" x14ac:dyDescent="0.3">
      <c r="A45" s="2" t="s">
        <v>24</v>
      </c>
      <c r="B45" s="2" t="s">
        <v>363</v>
      </c>
      <c r="C45" s="2" t="s">
        <v>310</v>
      </c>
      <c r="D45" s="2" t="s">
        <v>376</v>
      </c>
      <c r="E45" s="2" t="s">
        <v>312</v>
      </c>
      <c r="F45" s="2" t="s">
        <v>377</v>
      </c>
    </row>
    <row r="46" spans="1:6" x14ac:dyDescent="0.3">
      <c r="A46" s="2" t="s">
        <v>137</v>
      </c>
      <c r="B46" s="2" t="s">
        <v>363</v>
      </c>
      <c r="C46" s="2" t="s">
        <v>310</v>
      </c>
      <c r="D46" s="2" t="s">
        <v>378</v>
      </c>
      <c r="E46" s="2" t="s">
        <v>327</v>
      </c>
      <c r="F46" s="2" t="s">
        <v>325</v>
      </c>
    </row>
    <row r="47" spans="1:6" x14ac:dyDescent="0.3">
      <c r="A47" s="2" t="s">
        <v>36</v>
      </c>
      <c r="B47" s="2" t="s">
        <v>379</v>
      </c>
      <c r="C47" s="2" t="s">
        <v>379</v>
      </c>
      <c r="D47" s="2" t="s">
        <v>380</v>
      </c>
      <c r="E47" s="2" t="s">
        <v>381</v>
      </c>
      <c r="F47" s="2" t="s">
        <v>382</v>
      </c>
    </row>
    <row r="48" spans="1:6" x14ac:dyDescent="0.3">
      <c r="A48" s="2" t="s">
        <v>14</v>
      </c>
      <c r="B48" s="2" t="s">
        <v>379</v>
      </c>
      <c r="C48" s="2" t="s">
        <v>379</v>
      </c>
      <c r="D48" s="2" t="s">
        <v>383</v>
      </c>
      <c r="E48" s="2" t="s">
        <v>384</v>
      </c>
      <c r="F48" s="2" t="s">
        <v>385</v>
      </c>
    </row>
    <row r="49" spans="1:6" x14ac:dyDescent="0.3">
      <c r="A49" s="2" t="s">
        <v>106</v>
      </c>
      <c r="B49" s="2" t="s">
        <v>309</v>
      </c>
      <c r="C49" s="2" t="s">
        <v>310</v>
      </c>
      <c r="D49" s="2" t="s">
        <v>386</v>
      </c>
      <c r="E49" s="2" t="s">
        <v>368</v>
      </c>
      <c r="F49" s="2" t="s">
        <v>313</v>
      </c>
    </row>
    <row r="50" spans="1:6" x14ac:dyDescent="0.3">
      <c r="A50" s="2" t="s">
        <v>257</v>
      </c>
      <c r="B50" s="2" t="s">
        <v>373</v>
      </c>
      <c r="C50" s="2" t="s">
        <v>310</v>
      </c>
      <c r="D50" s="2" t="s">
        <v>357</v>
      </c>
      <c r="E50" s="2" t="s">
        <v>339</v>
      </c>
      <c r="F50" s="2" t="s">
        <v>357</v>
      </c>
    </row>
    <row r="51" spans="1:6" x14ac:dyDescent="0.3">
      <c r="A51" s="2" t="s">
        <v>258</v>
      </c>
      <c r="B51" s="2" t="s">
        <v>337</v>
      </c>
      <c r="C51" s="2" t="s">
        <v>333</v>
      </c>
      <c r="D51" s="2" t="s">
        <v>338</v>
      </c>
      <c r="E51" s="2" t="s">
        <v>339</v>
      </c>
      <c r="F51" s="2" t="s">
        <v>340</v>
      </c>
    </row>
    <row r="52" spans="1:6" x14ac:dyDescent="0.3">
      <c r="A52" s="2" t="s">
        <v>16</v>
      </c>
      <c r="B52" s="2" t="s">
        <v>332</v>
      </c>
      <c r="C52" s="2" t="s">
        <v>333</v>
      </c>
      <c r="D52" s="2" t="s">
        <v>334</v>
      </c>
      <c r="E52" s="2" t="s">
        <v>335</v>
      </c>
      <c r="F52" s="2" t="s">
        <v>336</v>
      </c>
    </row>
    <row r="53" spans="1:6" x14ac:dyDescent="0.3">
      <c r="A53" s="2" t="s">
        <v>259</v>
      </c>
      <c r="B53" s="2" t="s">
        <v>332</v>
      </c>
      <c r="C53" s="2" t="s">
        <v>333</v>
      </c>
      <c r="D53" s="2" t="s">
        <v>334</v>
      </c>
      <c r="E53" s="2" t="s">
        <v>335</v>
      </c>
      <c r="F53" s="2" t="s">
        <v>336</v>
      </c>
    </row>
    <row r="54" spans="1:6" x14ac:dyDescent="0.3">
      <c r="A54" s="2" t="s">
        <v>260</v>
      </c>
      <c r="B54" s="2" t="s">
        <v>332</v>
      </c>
      <c r="C54" s="2" t="s">
        <v>333</v>
      </c>
      <c r="D54" s="2" t="s">
        <v>334</v>
      </c>
      <c r="E54" s="2" t="s">
        <v>335</v>
      </c>
      <c r="F54" s="2" t="s">
        <v>336</v>
      </c>
    </row>
    <row r="55" spans="1:6" x14ac:dyDescent="0.3">
      <c r="A55" s="2" t="s">
        <v>261</v>
      </c>
      <c r="B55" s="2" t="s">
        <v>329</v>
      </c>
      <c r="C55" s="2" t="s">
        <v>330</v>
      </c>
      <c r="D55" s="2" t="s">
        <v>343</v>
      </c>
      <c r="E55" s="2" t="s">
        <v>344</v>
      </c>
      <c r="F55" s="2" t="s">
        <v>354</v>
      </c>
    </row>
    <row r="56" spans="1:6" x14ac:dyDescent="0.3">
      <c r="A56" s="2" t="s">
        <v>262</v>
      </c>
      <c r="B56" s="2" t="s">
        <v>325</v>
      </c>
      <c r="C56" s="2" t="s">
        <v>364</v>
      </c>
      <c r="D56" s="2" t="s">
        <v>387</v>
      </c>
      <c r="E56" s="2" t="s">
        <v>327</v>
      </c>
      <c r="F56" s="2" t="s">
        <v>388</v>
      </c>
    </row>
    <row r="57" spans="1:6" x14ac:dyDescent="0.3">
      <c r="A57" s="2" t="s">
        <v>263</v>
      </c>
      <c r="B57" s="2" t="s">
        <v>389</v>
      </c>
      <c r="C57" s="2" t="s">
        <v>310</v>
      </c>
      <c r="D57" s="2" t="s">
        <v>389</v>
      </c>
      <c r="E57" s="2" t="s">
        <v>384</v>
      </c>
      <c r="F57" s="2" t="s">
        <v>390</v>
      </c>
    </row>
    <row r="58" spans="1:6" x14ac:dyDescent="0.3">
      <c r="A58" s="2" t="s">
        <v>107</v>
      </c>
      <c r="B58" s="2" t="s">
        <v>346</v>
      </c>
      <c r="C58" s="2" t="s">
        <v>333</v>
      </c>
      <c r="D58" s="2" t="s">
        <v>391</v>
      </c>
      <c r="E58" s="2" t="s">
        <v>335</v>
      </c>
      <c r="F58" s="2" t="s">
        <v>375</v>
      </c>
    </row>
    <row r="59" spans="1:6" x14ac:dyDescent="0.3">
      <c r="A59" s="2" t="s">
        <v>264</v>
      </c>
      <c r="B59" s="2" t="s">
        <v>337</v>
      </c>
      <c r="C59" s="2" t="s">
        <v>310</v>
      </c>
      <c r="D59" s="2" t="s">
        <v>338</v>
      </c>
      <c r="E59" s="2" t="s">
        <v>339</v>
      </c>
      <c r="F59" s="2" t="s">
        <v>340</v>
      </c>
    </row>
    <row r="60" spans="1:6" x14ac:dyDescent="0.3">
      <c r="A60" s="2" t="s">
        <v>265</v>
      </c>
      <c r="B60" s="2" t="s">
        <v>346</v>
      </c>
      <c r="C60" s="2" t="s">
        <v>333</v>
      </c>
      <c r="D60" s="2" t="s">
        <v>392</v>
      </c>
      <c r="E60" s="2" t="s">
        <v>393</v>
      </c>
      <c r="F60" s="2" t="s">
        <v>394</v>
      </c>
    </row>
    <row r="61" spans="1:6" x14ac:dyDescent="0.3">
      <c r="A61" s="2" t="s">
        <v>57</v>
      </c>
      <c r="B61" s="2" t="s">
        <v>395</v>
      </c>
      <c r="C61" s="2" t="s">
        <v>348</v>
      </c>
      <c r="D61" s="2" t="s">
        <v>396</v>
      </c>
      <c r="E61" s="2" t="s">
        <v>350</v>
      </c>
      <c r="F61" s="2" t="s">
        <v>397</v>
      </c>
    </row>
    <row r="62" spans="1:6" x14ac:dyDescent="0.3">
      <c r="A62" s="2" t="s">
        <v>96</v>
      </c>
      <c r="B62" s="2" t="s">
        <v>352</v>
      </c>
      <c r="C62" s="2" t="s">
        <v>310</v>
      </c>
      <c r="D62" s="2" t="s">
        <v>355</v>
      </c>
      <c r="E62" s="2" t="s">
        <v>323</v>
      </c>
      <c r="F62" s="2" t="s">
        <v>356</v>
      </c>
    </row>
    <row r="63" spans="1:6" x14ac:dyDescent="0.3">
      <c r="A63" s="2" t="s">
        <v>42</v>
      </c>
      <c r="B63" s="2" t="s">
        <v>332</v>
      </c>
      <c r="C63" s="2" t="s">
        <v>333</v>
      </c>
      <c r="D63" s="2" t="s">
        <v>334</v>
      </c>
      <c r="E63" s="2" t="s">
        <v>335</v>
      </c>
      <c r="F63" s="2" t="s">
        <v>336</v>
      </c>
    </row>
    <row r="64" spans="1:6" x14ac:dyDescent="0.3">
      <c r="A64" s="2" t="s">
        <v>12</v>
      </c>
      <c r="B64" s="2" t="s">
        <v>341</v>
      </c>
      <c r="C64" s="2" t="s">
        <v>310</v>
      </c>
      <c r="D64" s="2" t="s">
        <v>383</v>
      </c>
      <c r="E64" s="2" t="s">
        <v>384</v>
      </c>
      <c r="F64" s="2" t="s">
        <v>385</v>
      </c>
    </row>
    <row r="65" spans="1:6" x14ac:dyDescent="0.3">
      <c r="A65" s="2" t="s">
        <v>266</v>
      </c>
      <c r="B65" s="2" t="s">
        <v>341</v>
      </c>
      <c r="C65" s="2" t="s">
        <v>310</v>
      </c>
      <c r="D65" s="2" t="s">
        <v>315</v>
      </c>
      <c r="E65" s="2" t="s">
        <v>312</v>
      </c>
      <c r="F65" s="2" t="s">
        <v>372</v>
      </c>
    </row>
    <row r="66" spans="1:6" x14ac:dyDescent="0.3">
      <c r="A66" s="2" t="s">
        <v>53</v>
      </c>
      <c r="B66" s="2" t="s">
        <v>317</v>
      </c>
      <c r="C66" s="2" t="s">
        <v>310</v>
      </c>
      <c r="D66" s="2" t="s">
        <v>315</v>
      </c>
      <c r="E66" s="2" t="s">
        <v>312</v>
      </c>
      <c r="F66" s="2" t="s">
        <v>372</v>
      </c>
    </row>
    <row r="67" spans="1:6" x14ac:dyDescent="0.3">
      <c r="A67" s="2" t="s">
        <v>10</v>
      </c>
      <c r="B67" s="2" t="s">
        <v>366</v>
      </c>
      <c r="C67" s="2" t="s">
        <v>359</v>
      </c>
      <c r="D67" s="2" t="s">
        <v>398</v>
      </c>
      <c r="E67" s="2" t="s">
        <v>368</v>
      </c>
      <c r="F67" s="2" t="s">
        <v>399</v>
      </c>
    </row>
    <row r="68" spans="1:6" x14ac:dyDescent="0.3">
      <c r="A68" s="2" t="s">
        <v>225</v>
      </c>
      <c r="B68" s="2" t="s">
        <v>379</v>
      </c>
      <c r="C68" s="2" t="s">
        <v>379</v>
      </c>
      <c r="D68" s="2" t="s">
        <v>400</v>
      </c>
      <c r="E68" s="2" t="s">
        <v>401</v>
      </c>
      <c r="F68" s="2" t="s">
        <v>402</v>
      </c>
    </row>
    <row r="69" spans="1:6" x14ac:dyDescent="0.3">
      <c r="A69" s="2" t="s">
        <v>83</v>
      </c>
      <c r="B69" s="2" t="s">
        <v>358</v>
      </c>
      <c r="C69" s="2" t="s">
        <v>364</v>
      </c>
      <c r="D69" s="2" t="s">
        <v>403</v>
      </c>
      <c r="E69" s="2" t="s">
        <v>319</v>
      </c>
      <c r="F69" s="2" t="s">
        <v>404</v>
      </c>
    </row>
    <row r="70" spans="1:6" x14ac:dyDescent="0.3">
      <c r="A70" s="2" t="s">
        <v>267</v>
      </c>
      <c r="B70" s="2" t="s">
        <v>337</v>
      </c>
      <c r="C70" s="2" t="s">
        <v>310</v>
      </c>
      <c r="D70" s="2" t="s">
        <v>367</v>
      </c>
      <c r="E70" s="2" t="s">
        <v>368</v>
      </c>
      <c r="F70" s="2" t="s">
        <v>369</v>
      </c>
    </row>
    <row r="71" spans="1:6" x14ac:dyDescent="0.3">
      <c r="A71" s="2" t="s">
        <v>268</v>
      </c>
      <c r="B71" s="2" t="s">
        <v>366</v>
      </c>
      <c r="C71" s="2" t="s">
        <v>359</v>
      </c>
      <c r="D71" s="2" t="s">
        <v>367</v>
      </c>
      <c r="E71" s="2" t="s">
        <v>368</v>
      </c>
      <c r="F71" s="2" t="s">
        <v>369</v>
      </c>
    </row>
    <row r="72" spans="1:6" x14ac:dyDescent="0.3">
      <c r="A72" s="2" t="s">
        <v>3</v>
      </c>
      <c r="B72" s="2" t="s">
        <v>379</v>
      </c>
      <c r="C72" s="2" t="s">
        <v>379</v>
      </c>
      <c r="D72" s="2" t="s">
        <v>400</v>
      </c>
      <c r="E72" s="2" t="s">
        <v>401</v>
      </c>
      <c r="F72" s="2" t="s">
        <v>405</v>
      </c>
    </row>
    <row r="73" spans="1:6" x14ac:dyDescent="0.3">
      <c r="A73" s="2" t="s">
        <v>90</v>
      </c>
      <c r="B73" s="2" t="s">
        <v>379</v>
      </c>
      <c r="C73" s="2" t="s">
        <v>379</v>
      </c>
      <c r="D73" s="2" t="s">
        <v>400</v>
      </c>
      <c r="E73" s="2" t="s">
        <v>401</v>
      </c>
      <c r="F73" s="2" t="s">
        <v>406</v>
      </c>
    </row>
    <row r="74" spans="1:6" x14ac:dyDescent="0.3">
      <c r="A74" s="2" t="s">
        <v>269</v>
      </c>
      <c r="B74" s="2" t="s">
        <v>37</v>
      </c>
      <c r="C74" s="2" t="s">
        <v>379</v>
      </c>
      <c r="D74" s="2" t="s">
        <v>400</v>
      </c>
      <c r="E74" s="2" t="s">
        <v>401</v>
      </c>
      <c r="F74" s="2" t="s">
        <v>406</v>
      </c>
    </row>
    <row r="75" spans="1:6" x14ac:dyDescent="0.3">
      <c r="A75" s="2" t="s">
        <v>184</v>
      </c>
      <c r="B75" s="2" t="s">
        <v>379</v>
      </c>
      <c r="C75" s="2" t="s">
        <v>379</v>
      </c>
      <c r="D75" s="2" t="s">
        <v>407</v>
      </c>
      <c r="E75" s="2" t="s">
        <v>408</v>
      </c>
      <c r="F75" s="2" t="s">
        <v>183</v>
      </c>
    </row>
    <row r="76" spans="1:6" x14ac:dyDescent="0.3">
      <c r="A76" s="2" t="s">
        <v>270</v>
      </c>
      <c r="B76" s="2" t="s">
        <v>379</v>
      </c>
      <c r="C76" s="2" t="s">
        <v>379</v>
      </c>
      <c r="D76" s="2" t="s">
        <v>409</v>
      </c>
      <c r="E76" s="2" t="s">
        <v>381</v>
      </c>
      <c r="F76" s="2" t="s">
        <v>410</v>
      </c>
    </row>
    <row r="77" spans="1:6" x14ac:dyDescent="0.3">
      <c r="A77" s="2" t="s">
        <v>72</v>
      </c>
      <c r="B77" s="2" t="s">
        <v>411</v>
      </c>
      <c r="C77" s="2" t="s">
        <v>310</v>
      </c>
      <c r="D77" s="2" t="s">
        <v>412</v>
      </c>
      <c r="E77" s="2" t="s">
        <v>327</v>
      </c>
      <c r="F77" s="2" t="s">
        <v>413</v>
      </c>
    </row>
    <row r="78" spans="1:6" x14ac:dyDescent="0.3">
      <c r="A78" s="2" t="s">
        <v>271</v>
      </c>
      <c r="B78" s="2" t="s">
        <v>395</v>
      </c>
      <c r="C78" s="2" t="s">
        <v>348</v>
      </c>
      <c r="D78" s="2" t="s">
        <v>414</v>
      </c>
      <c r="E78" s="2" t="s">
        <v>350</v>
      </c>
      <c r="F78" s="2" t="s">
        <v>415</v>
      </c>
    </row>
    <row r="79" spans="1:6" x14ac:dyDescent="0.3">
      <c r="A79" s="2" t="s">
        <v>68</v>
      </c>
      <c r="B79" s="2" t="s">
        <v>321</v>
      </c>
      <c r="C79" s="2" t="s">
        <v>310</v>
      </c>
      <c r="D79" s="2" t="s">
        <v>322</v>
      </c>
      <c r="E79" s="2" t="s">
        <v>323</v>
      </c>
      <c r="F79" s="2" t="s">
        <v>324</v>
      </c>
    </row>
    <row r="80" spans="1:6" x14ac:dyDescent="0.3">
      <c r="A80" s="2" t="s">
        <v>167</v>
      </c>
      <c r="B80" s="2" t="s">
        <v>352</v>
      </c>
      <c r="C80" s="2" t="s">
        <v>310</v>
      </c>
      <c r="D80" s="2" t="s">
        <v>383</v>
      </c>
      <c r="E80" s="2" t="s">
        <v>384</v>
      </c>
      <c r="F80" s="2" t="s">
        <v>385</v>
      </c>
    </row>
    <row r="81" spans="1:6" x14ac:dyDescent="0.3">
      <c r="A81" s="2" t="s">
        <v>128</v>
      </c>
      <c r="B81" s="2" t="s">
        <v>373</v>
      </c>
      <c r="C81" s="2" t="s">
        <v>310</v>
      </c>
      <c r="D81" s="2" t="s">
        <v>357</v>
      </c>
      <c r="E81" s="2" t="s">
        <v>339</v>
      </c>
      <c r="F81" s="2" t="s">
        <v>357</v>
      </c>
    </row>
    <row r="82" spans="1:6" x14ac:dyDescent="0.3">
      <c r="A82" s="2" t="s">
        <v>272</v>
      </c>
      <c r="B82" s="2" t="s">
        <v>347</v>
      </c>
      <c r="C82" s="2" t="s">
        <v>348</v>
      </c>
      <c r="D82" s="2" t="s">
        <v>414</v>
      </c>
      <c r="E82" s="2" t="s">
        <v>350</v>
      </c>
      <c r="F82" s="2" t="s">
        <v>415</v>
      </c>
    </row>
    <row r="83" spans="1:6" x14ac:dyDescent="0.3">
      <c r="A83" s="2" t="s">
        <v>6</v>
      </c>
      <c r="B83" s="2" t="s">
        <v>395</v>
      </c>
      <c r="C83" s="2" t="s">
        <v>348</v>
      </c>
      <c r="D83" s="2" t="s">
        <v>414</v>
      </c>
      <c r="E83" s="2" t="s">
        <v>350</v>
      </c>
      <c r="F83" s="2" t="s">
        <v>415</v>
      </c>
    </row>
    <row r="84" spans="1:6" x14ac:dyDescent="0.3">
      <c r="A84" s="2" t="s">
        <v>273</v>
      </c>
      <c r="B84" s="2" t="s">
        <v>341</v>
      </c>
      <c r="C84" s="2" t="s">
        <v>310</v>
      </c>
      <c r="D84" s="2" t="s">
        <v>315</v>
      </c>
      <c r="E84" s="2" t="s">
        <v>312</v>
      </c>
      <c r="F84" s="2" t="s">
        <v>372</v>
      </c>
    </row>
    <row r="85" spans="1:6" x14ac:dyDescent="0.3">
      <c r="A85" s="2" t="s">
        <v>37</v>
      </c>
      <c r="B85" s="2" t="s">
        <v>37</v>
      </c>
      <c r="C85" s="2" t="s">
        <v>310</v>
      </c>
      <c r="D85" s="2" t="s">
        <v>11</v>
      </c>
      <c r="E85" s="2" t="s">
        <v>384</v>
      </c>
      <c r="F85" s="2" t="s">
        <v>390</v>
      </c>
    </row>
    <row r="86" spans="1:6" x14ac:dyDescent="0.3">
      <c r="A86" s="2" t="s">
        <v>274</v>
      </c>
      <c r="B86" s="2" t="s">
        <v>309</v>
      </c>
      <c r="C86" s="2" t="s">
        <v>310</v>
      </c>
      <c r="D86" s="2" t="s">
        <v>311</v>
      </c>
      <c r="E86" s="2" t="s">
        <v>312</v>
      </c>
      <c r="F86" s="2" t="s">
        <v>313</v>
      </c>
    </row>
    <row r="87" spans="1:6" x14ac:dyDescent="0.3">
      <c r="A87" s="2" t="s">
        <v>275</v>
      </c>
      <c r="B87" s="2" t="s">
        <v>341</v>
      </c>
      <c r="C87" s="2" t="s">
        <v>310</v>
      </c>
      <c r="D87" s="2" t="s">
        <v>315</v>
      </c>
      <c r="E87" s="2" t="s">
        <v>312</v>
      </c>
      <c r="F87" s="2" t="s">
        <v>372</v>
      </c>
    </row>
    <row r="88" spans="1:6" x14ac:dyDescent="0.3">
      <c r="A88" s="2" t="s">
        <v>276</v>
      </c>
      <c r="B88" s="2" t="s">
        <v>346</v>
      </c>
      <c r="C88" s="2" t="s">
        <v>342</v>
      </c>
      <c r="D88" s="2" t="s">
        <v>343</v>
      </c>
      <c r="E88" s="2" t="s">
        <v>344</v>
      </c>
      <c r="F88" s="2" t="s">
        <v>416</v>
      </c>
    </row>
    <row r="89" spans="1:6" x14ac:dyDescent="0.3">
      <c r="A89" s="2" t="s">
        <v>20</v>
      </c>
      <c r="B89" s="2" t="s">
        <v>352</v>
      </c>
      <c r="C89" s="2" t="s">
        <v>310</v>
      </c>
      <c r="D89" s="2" t="s">
        <v>353</v>
      </c>
      <c r="E89" s="2" t="s">
        <v>323</v>
      </c>
      <c r="F89" s="2" t="s">
        <v>353</v>
      </c>
    </row>
    <row r="90" spans="1:6" x14ac:dyDescent="0.3">
      <c r="A90" s="2" t="s">
        <v>277</v>
      </c>
      <c r="B90" s="2" t="s">
        <v>379</v>
      </c>
      <c r="C90" s="2" t="s">
        <v>379</v>
      </c>
      <c r="D90" s="2" t="s">
        <v>407</v>
      </c>
      <c r="E90" s="2" t="s">
        <v>408</v>
      </c>
      <c r="F90" s="2" t="s">
        <v>211</v>
      </c>
    </row>
    <row r="91" spans="1:6" x14ac:dyDescent="0.3">
      <c r="A91" s="2" t="s">
        <v>278</v>
      </c>
      <c r="B91" s="2" t="s">
        <v>341</v>
      </c>
      <c r="C91" s="2" t="s">
        <v>310</v>
      </c>
      <c r="D91" s="2" t="s">
        <v>315</v>
      </c>
      <c r="E91" s="2" t="s">
        <v>312</v>
      </c>
      <c r="F91" s="2" t="s">
        <v>372</v>
      </c>
    </row>
    <row r="92" spans="1:6" x14ac:dyDescent="0.3">
      <c r="A92" s="2" t="s">
        <v>279</v>
      </c>
      <c r="B92" s="2" t="s">
        <v>363</v>
      </c>
      <c r="C92" s="2" t="s">
        <v>364</v>
      </c>
      <c r="D92" s="2" t="s">
        <v>387</v>
      </c>
      <c r="E92" s="2" t="s">
        <v>327</v>
      </c>
      <c r="F92" s="2" t="s">
        <v>388</v>
      </c>
    </row>
    <row r="93" spans="1:6" x14ac:dyDescent="0.3">
      <c r="A93" s="2" t="s">
        <v>98</v>
      </c>
      <c r="B93" s="2" t="s">
        <v>358</v>
      </c>
      <c r="C93" s="2" t="s">
        <v>364</v>
      </c>
      <c r="D93" s="2" t="s">
        <v>417</v>
      </c>
      <c r="E93" s="2" t="s">
        <v>319</v>
      </c>
      <c r="F93" s="2" t="s">
        <v>418</v>
      </c>
    </row>
    <row r="94" spans="1:6" x14ac:dyDescent="0.3">
      <c r="A94" s="2" t="s">
        <v>163</v>
      </c>
      <c r="B94" s="2" t="s">
        <v>358</v>
      </c>
      <c r="C94" s="2" t="s">
        <v>364</v>
      </c>
      <c r="D94" s="2" t="s">
        <v>403</v>
      </c>
      <c r="E94" s="2" t="s">
        <v>319</v>
      </c>
      <c r="F94" s="2" t="s">
        <v>404</v>
      </c>
    </row>
    <row r="95" spans="1:6" x14ac:dyDescent="0.3">
      <c r="A95" s="2" t="s">
        <v>44</v>
      </c>
      <c r="B95" s="2" t="s">
        <v>363</v>
      </c>
      <c r="C95" s="2" t="s">
        <v>364</v>
      </c>
      <c r="D95" s="2" t="s">
        <v>365</v>
      </c>
      <c r="E95" s="2" t="s">
        <v>319</v>
      </c>
      <c r="F95" s="2" t="s">
        <v>365</v>
      </c>
    </row>
    <row r="96" spans="1:6" x14ac:dyDescent="0.3">
      <c r="A96" s="2" t="s">
        <v>280</v>
      </c>
      <c r="B96" s="2" t="s">
        <v>352</v>
      </c>
      <c r="C96" s="2" t="s">
        <v>310</v>
      </c>
      <c r="D96" s="2" t="s">
        <v>355</v>
      </c>
      <c r="E96" s="2" t="s">
        <v>323</v>
      </c>
      <c r="F96" s="2" t="s">
        <v>356</v>
      </c>
    </row>
    <row r="97" spans="1:6" x14ac:dyDescent="0.3">
      <c r="A97" s="2" t="s">
        <v>281</v>
      </c>
      <c r="B97" s="2" t="s">
        <v>346</v>
      </c>
      <c r="C97" s="2" t="s">
        <v>333</v>
      </c>
      <c r="D97" s="2" t="s">
        <v>391</v>
      </c>
      <c r="E97" s="2" t="s">
        <v>335</v>
      </c>
      <c r="F97" s="2" t="s">
        <v>375</v>
      </c>
    </row>
    <row r="98" spans="1:6" x14ac:dyDescent="0.3">
      <c r="A98" s="2" t="s">
        <v>1</v>
      </c>
      <c r="B98" s="2" t="s">
        <v>329</v>
      </c>
      <c r="C98" s="2" t="s">
        <v>330</v>
      </c>
      <c r="D98" s="2" t="s">
        <v>318</v>
      </c>
      <c r="E98" s="2" t="s">
        <v>319</v>
      </c>
      <c r="F98" s="2" t="s">
        <v>331</v>
      </c>
    </row>
    <row r="99" spans="1:6" x14ac:dyDescent="0.3">
      <c r="A99" s="2" t="s">
        <v>282</v>
      </c>
      <c r="B99" s="2" t="s">
        <v>321</v>
      </c>
      <c r="C99" s="2" t="s">
        <v>310</v>
      </c>
      <c r="D99" s="2" t="s">
        <v>322</v>
      </c>
      <c r="E99" s="2" t="s">
        <v>323</v>
      </c>
      <c r="F99" s="2" t="s">
        <v>324</v>
      </c>
    </row>
    <row r="100" spans="1:6" x14ac:dyDescent="0.3">
      <c r="A100" s="2" t="s">
        <v>64</v>
      </c>
      <c r="B100" s="2" t="s">
        <v>366</v>
      </c>
      <c r="C100" s="2" t="s">
        <v>359</v>
      </c>
      <c r="D100" s="2" t="s">
        <v>419</v>
      </c>
      <c r="E100" s="2" t="s">
        <v>368</v>
      </c>
      <c r="F100" s="2" t="s">
        <v>420</v>
      </c>
    </row>
    <row r="101" spans="1:6" x14ac:dyDescent="0.3">
      <c r="A101" s="2" t="s">
        <v>283</v>
      </c>
      <c r="B101" s="2" t="s">
        <v>309</v>
      </c>
      <c r="C101" s="2" t="s">
        <v>310</v>
      </c>
      <c r="D101" s="2" t="s">
        <v>398</v>
      </c>
      <c r="E101" s="2" t="s">
        <v>368</v>
      </c>
      <c r="F101" s="2" t="s">
        <v>313</v>
      </c>
    </row>
    <row r="102" spans="1:6" x14ac:dyDescent="0.3">
      <c r="A102" s="2" t="s">
        <v>50</v>
      </c>
      <c r="B102" s="2" t="s">
        <v>347</v>
      </c>
      <c r="C102" s="2" t="s">
        <v>348</v>
      </c>
      <c r="D102" s="2" t="s">
        <v>421</v>
      </c>
      <c r="E102" s="2" t="s">
        <v>350</v>
      </c>
      <c r="F102" s="2" t="s">
        <v>422</v>
      </c>
    </row>
    <row r="103" spans="1:6" x14ac:dyDescent="0.3">
      <c r="A103" s="2" t="s">
        <v>284</v>
      </c>
      <c r="B103" s="2" t="s">
        <v>347</v>
      </c>
      <c r="C103" s="2" t="s">
        <v>348</v>
      </c>
      <c r="D103" s="2" t="s">
        <v>421</v>
      </c>
      <c r="E103" s="2" t="s">
        <v>350</v>
      </c>
      <c r="F103" s="2" t="s">
        <v>422</v>
      </c>
    </row>
    <row r="104" spans="1:6" x14ac:dyDescent="0.3">
      <c r="A104" s="2" t="s">
        <v>285</v>
      </c>
      <c r="B104" s="2" t="s">
        <v>347</v>
      </c>
      <c r="C104" s="2" t="s">
        <v>348</v>
      </c>
      <c r="D104" s="2" t="s">
        <v>349</v>
      </c>
      <c r="E104" s="2" t="s">
        <v>350</v>
      </c>
      <c r="F104" s="2" t="s">
        <v>351</v>
      </c>
    </row>
    <row r="105" spans="1:6" x14ac:dyDescent="0.3">
      <c r="A105" s="2" t="s">
        <v>286</v>
      </c>
      <c r="B105" s="2" t="s">
        <v>329</v>
      </c>
      <c r="C105" s="2" t="s">
        <v>330</v>
      </c>
      <c r="D105" s="2" t="s">
        <v>318</v>
      </c>
      <c r="E105" s="2" t="s">
        <v>319</v>
      </c>
      <c r="F105" s="2" t="s">
        <v>331</v>
      </c>
    </row>
    <row r="106" spans="1:6" x14ac:dyDescent="0.3">
      <c r="A106" s="2" t="s">
        <v>212</v>
      </c>
      <c r="B106" s="2" t="s">
        <v>379</v>
      </c>
      <c r="C106" s="2" t="s">
        <v>379</v>
      </c>
      <c r="D106" s="2" t="s">
        <v>407</v>
      </c>
      <c r="E106" s="2" t="s">
        <v>408</v>
      </c>
      <c r="F106" s="2" t="s">
        <v>211</v>
      </c>
    </row>
    <row r="107" spans="1:6" x14ac:dyDescent="0.3">
      <c r="A107" s="2" t="s">
        <v>287</v>
      </c>
      <c r="B107" s="2" t="s">
        <v>352</v>
      </c>
      <c r="C107" s="2" t="s">
        <v>310</v>
      </c>
      <c r="D107" s="2" t="s">
        <v>353</v>
      </c>
      <c r="E107" s="2" t="s">
        <v>323</v>
      </c>
      <c r="F107" s="2" t="s">
        <v>353</v>
      </c>
    </row>
    <row r="108" spans="1:6" x14ac:dyDescent="0.3">
      <c r="A108" s="2" t="s">
        <v>288</v>
      </c>
      <c r="B108" s="2" t="s">
        <v>352</v>
      </c>
      <c r="C108" s="2" t="s">
        <v>310</v>
      </c>
      <c r="D108" s="2" t="s">
        <v>353</v>
      </c>
      <c r="E108" s="2" t="s">
        <v>323</v>
      </c>
      <c r="F108" s="2" t="s">
        <v>353</v>
      </c>
    </row>
    <row r="109" spans="1:6" x14ac:dyDescent="0.3">
      <c r="A109" s="2" t="s">
        <v>47</v>
      </c>
      <c r="B109" s="2" t="s">
        <v>317</v>
      </c>
      <c r="C109" s="2" t="s">
        <v>310</v>
      </c>
      <c r="D109" s="2" t="s">
        <v>343</v>
      </c>
      <c r="E109" s="2" t="s">
        <v>344</v>
      </c>
      <c r="F109" s="2" t="s">
        <v>423</v>
      </c>
    </row>
    <row r="110" spans="1:6" x14ac:dyDescent="0.3">
      <c r="A110" s="2" t="s">
        <v>289</v>
      </c>
      <c r="B110" s="2" t="s">
        <v>321</v>
      </c>
      <c r="C110" s="2" t="s">
        <v>310</v>
      </c>
      <c r="D110" s="2" t="s">
        <v>322</v>
      </c>
      <c r="E110" s="2" t="s">
        <v>323</v>
      </c>
      <c r="F110" s="2" t="s">
        <v>324</v>
      </c>
    </row>
    <row r="111" spans="1:6" x14ac:dyDescent="0.3">
      <c r="A111" s="2" t="s">
        <v>28</v>
      </c>
      <c r="B111" s="2" t="s">
        <v>379</v>
      </c>
      <c r="C111" s="2" t="s">
        <v>310</v>
      </c>
      <c r="D111" s="2" t="s">
        <v>392</v>
      </c>
      <c r="E111" s="2" t="s">
        <v>393</v>
      </c>
      <c r="F111" s="2" t="s">
        <v>394</v>
      </c>
    </row>
    <row r="112" spans="1:6" x14ac:dyDescent="0.3">
      <c r="A112" s="2" t="s">
        <v>165</v>
      </c>
      <c r="B112" s="2" t="s">
        <v>379</v>
      </c>
      <c r="C112" s="2" t="s">
        <v>379</v>
      </c>
      <c r="D112" s="2" t="s">
        <v>424</v>
      </c>
      <c r="E112" s="2" t="s">
        <v>393</v>
      </c>
      <c r="F112" s="2" t="s">
        <v>425</v>
      </c>
    </row>
    <row r="113" spans="1:6" x14ac:dyDescent="0.3">
      <c r="A113" s="2" t="s">
        <v>290</v>
      </c>
      <c r="B113" s="2" t="s">
        <v>346</v>
      </c>
      <c r="C113" s="2" t="s">
        <v>333</v>
      </c>
      <c r="D113" s="2" t="s">
        <v>391</v>
      </c>
      <c r="E113" s="2" t="s">
        <v>335</v>
      </c>
      <c r="F113" s="2" t="s">
        <v>375</v>
      </c>
    </row>
    <row r="114" spans="1:6" x14ac:dyDescent="0.3">
      <c r="A114" s="2" t="s">
        <v>157</v>
      </c>
      <c r="B114" s="2" t="s">
        <v>379</v>
      </c>
      <c r="C114" s="2" t="s">
        <v>379</v>
      </c>
      <c r="D114" s="2" t="s">
        <v>409</v>
      </c>
      <c r="E114" s="2" t="s">
        <v>381</v>
      </c>
      <c r="F114" s="2" t="s">
        <v>410</v>
      </c>
    </row>
    <row r="115" spans="1:6" x14ac:dyDescent="0.3">
      <c r="A115" s="2" t="s">
        <v>192</v>
      </c>
      <c r="B115" s="2" t="s">
        <v>352</v>
      </c>
      <c r="C115" s="2" t="s">
        <v>310</v>
      </c>
      <c r="D115" s="2" t="s">
        <v>355</v>
      </c>
      <c r="E115" s="2" t="s">
        <v>323</v>
      </c>
      <c r="F115" s="2" t="s">
        <v>426</v>
      </c>
    </row>
    <row r="116" spans="1:6" x14ac:dyDescent="0.3">
      <c r="A116" s="2" t="s">
        <v>291</v>
      </c>
      <c r="B116" s="2" t="s">
        <v>379</v>
      </c>
      <c r="C116" s="2" t="s">
        <v>379</v>
      </c>
      <c r="D116" s="2" t="s">
        <v>409</v>
      </c>
      <c r="E116" s="2" t="s">
        <v>381</v>
      </c>
      <c r="F116" s="2" t="s">
        <v>410</v>
      </c>
    </row>
    <row r="117" spans="1:6" x14ac:dyDescent="0.3">
      <c r="A117" s="2" t="s">
        <v>292</v>
      </c>
      <c r="B117" s="2" t="s">
        <v>314</v>
      </c>
      <c r="C117" s="2" t="s">
        <v>359</v>
      </c>
      <c r="D117" s="2" t="s">
        <v>360</v>
      </c>
      <c r="E117" s="2" t="s">
        <v>344</v>
      </c>
      <c r="F117" s="2" t="s">
        <v>361</v>
      </c>
    </row>
    <row r="118" spans="1:6" x14ac:dyDescent="0.3">
      <c r="A118" s="2" t="s">
        <v>293</v>
      </c>
      <c r="B118" s="2" t="s">
        <v>395</v>
      </c>
      <c r="C118" s="2" t="s">
        <v>348</v>
      </c>
      <c r="D118" s="2" t="s">
        <v>414</v>
      </c>
      <c r="E118" s="2" t="s">
        <v>350</v>
      </c>
      <c r="F118" s="2" t="s">
        <v>415</v>
      </c>
    </row>
    <row r="119" spans="1:6" x14ac:dyDescent="0.3">
      <c r="A119" s="2" t="s">
        <v>294</v>
      </c>
      <c r="B119" s="2" t="s">
        <v>379</v>
      </c>
      <c r="C119" s="2" t="s">
        <v>379</v>
      </c>
      <c r="D119" s="2" t="s">
        <v>407</v>
      </c>
      <c r="E119" s="2" t="s">
        <v>408</v>
      </c>
      <c r="F119" s="2" t="s">
        <v>211</v>
      </c>
    </row>
    <row r="120" spans="1:6" x14ac:dyDescent="0.3">
      <c r="A120" s="2" t="s">
        <v>18</v>
      </c>
      <c r="B120" s="2" t="s">
        <v>337</v>
      </c>
      <c r="C120" s="2" t="s">
        <v>310</v>
      </c>
      <c r="D120" s="2" t="s">
        <v>338</v>
      </c>
      <c r="E120" s="2" t="s">
        <v>339</v>
      </c>
      <c r="F120" s="2" t="s">
        <v>340</v>
      </c>
    </row>
    <row r="121" spans="1:6" x14ac:dyDescent="0.3">
      <c r="A121" s="2" t="s">
        <v>295</v>
      </c>
      <c r="B121" s="2" t="s">
        <v>411</v>
      </c>
      <c r="C121" s="2" t="s">
        <v>310</v>
      </c>
      <c r="D121" s="2" t="s">
        <v>412</v>
      </c>
      <c r="E121" s="2" t="s">
        <v>327</v>
      </c>
      <c r="F121" s="2" t="s">
        <v>413</v>
      </c>
    </row>
    <row r="122" spans="1:6" x14ac:dyDescent="0.3">
      <c r="A122" s="2" t="s">
        <v>32</v>
      </c>
      <c r="B122" s="2" t="s">
        <v>329</v>
      </c>
      <c r="C122" s="2" t="s">
        <v>330</v>
      </c>
      <c r="D122" s="2" t="s">
        <v>318</v>
      </c>
      <c r="E122" s="2" t="s">
        <v>319</v>
      </c>
      <c r="F122" s="2" t="s">
        <v>331</v>
      </c>
    </row>
    <row r="123" spans="1:6" x14ac:dyDescent="0.3">
      <c r="A123" s="2" t="s">
        <v>296</v>
      </c>
      <c r="B123" s="2" t="s">
        <v>314</v>
      </c>
      <c r="C123" s="2" t="s">
        <v>310</v>
      </c>
      <c r="D123" s="2" t="s">
        <v>360</v>
      </c>
      <c r="E123" s="2" t="s">
        <v>344</v>
      </c>
      <c r="F123" s="2" t="s">
        <v>361</v>
      </c>
    </row>
    <row r="124" spans="1:6" x14ac:dyDescent="0.3">
      <c r="A124" s="2" t="s">
        <v>104</v>
      </c>
      <c r="B124" s="2" t="s">
        <v>317</v>
      </c>
      <c r="C124" s="2" t="s">
        <v>310</v>
      </c>
      <c r="D124" s="2" t="s">
        <v>343</v>
      </c>
      <c r="E124" s="2" t="s">
        <v>344</v>
      </c>
      <c r="F124" s="2" t="s">
        <v>104</v>
      </c>
    </row>
    <row r="125" spans="1:6" x14ac:dyDescent="0.3">
      <c r="A125" s="2" t="s">
        <v>297</v>
      </c>
      <c r="B125" s="2" t="s">
        <v>332</v>
      </c>
      <c r="C125" s="2" t="s">
        <v>333</v>
      </c>
      <c r="D125" s="2" t="s">
        <v>334</v>
      </c>
      <c r="E125" s="2" t="s">
        <v>335</v>
      </c>
      <c r="F125" s="2" t="s">
        <v>336</v>
      </c>
    </row>
    <row r="126" spans="1:6" x14ac:dyDescent="0.3">
      <c r="A126" s="2" t="s">
        <v>298</v>
      </c>
      <c r="B126" s="2" t="s">
        <v>346</v>
      </c>
      <c r="C126" s="2" t="s">
        <v>333</v>
      </c>
      <c r="D126" s="2" t="s">
        <v>315</v>
      </c>
      <c r="E126" s="2" t="s">
        <v>312</v>
      </c>
      <c r="F126" s="2" t="s">
        <v>372</v>
      </c>
    </row>
    <row r="127" spans="1:6" x14ac:dyDescent="0.3">
      <c r="A127" s="2" t="s">
        <v>61</v>
      </c>
      <c r="B127" s="2" t="s">
        <v>321</v>
      </c>
      <c r="C127" s="2" t="s">
        <v>310</v>
      </c>
      <c r="D127" s="2" t="s">
        <v>322</v>
      </c>
      <c r="E127" s="2" t="s">
        <v>323</v>
      </c>
      <c r="F127" s="2" t="s">
        <v>324</v>
      </c>
    </row>
    <row r="128" spans="1:6" x14ac:dyDescent="0.3">
      <c r="A128" s="2" t="s">
        <v>299</v>
      </c>
      <c r="B128" s="2" t="s">
        <v>341</v>
      </c>
      <c r="C128" s="2" t="s">
        <v>310</v>
      </c>
      <c r="D128" s="2" t="s">
        <v>315</v>
      </c>
      <c r="E128" s="2" t="s">
        <v>312</v>
      </c>
      <c r="F128" s="2" t="s">
        <v>372</v>
      </c>
    </row>
    <row r="129" spans="1:6" x14ac:dyDescent="0.3">
      <c r="A129" s="2" t="s">
        <v>300</v>
      </c>
      <c r="B129" s="2" t="s">
        <v>325</v>
      </c>
      <c r="C129" s="2" t="s">
        <v>310</v>
      </c>
      <c r="D129" s="2" t="s">
        <v>370</v>
      </c>
      <c r="E129" s="2" t="s">
        <v>327</v>
      </c>
      <c r="F129" s="2" t="s">
        <v>427</v>
      </c>
    </row>
    <row r="130" spans="1:6" x14ac:dyDescent="0.3">
      <c r="A130" s="2" t="s">
        <v>26</v>
      </c>
      <c r="B130" s="2" t="s">
        <v>373</v>
      </c>
      <c r="C130" s="2" t="s">
        <v>310</v>
      </c>
      <c r="D130" s="2" t="s">
        <v>357</v>
      </c>
      <c r="E130" s="2" t="s">
        <v>339</v>
      </c>
      <c r="F130" s="2" t="s">
        <v>357</v>
      </c>
    </row>
    <row r="131" spans="1:6" x14ac:dyDescent="0.3">
      <c r="A131" s="2" t="s">
        <v>301</v>
      </c>
      <c r="B131" s="2" t="s">
        <v>411</v>
      </c>
      <c r="C131" s="2" t="s">
        <v>310</v>
      </c>
      <c r="D131" s="2" t="s">
        <v>412</v>
      </c>
      <c r="E131" s="2" t="s">
        <v>327</v>
      </c>
      <c r="F131" s="2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1"/>
  <sheetViews>
    <sheetView tabSelected="1" topLeftCell="A180" zoomScale="104" workbookViewId="0">
      <selection activeCell="A62" sqref="A62"/>
    </sheetView>
  </sheetViews>
  <sheetFormatPr defaultRowHeight="14.4" x14ac:dyDescent="0.3"/>
  <cols>
    <col min="1" max="1" width="65" bestFit="1" customWidth="1"/>
    <col min="2" max="2" width="27.77734375" bestFit="1" customWidth="1"/>
    <col min="3" max="3" width="20.77734375" bestFit="1" customWidth="1"/>
    <col min="4" max="4" width="20.6640625" bestFit="1" customWidth="1"/>
    <col min="5" max="5" width="22.88671875" bestFit="1" customWidth="1"/>
    <col min="6" max="6" width="30.44140625" bestFit="1" customWidth="1"/>
    <col min="7" max="7" width="47.6640625" customWidth="1"/>
  </cols>
  <sheetData>
    <row r="1" spans="1:10" x14ac:dyDescent="0.3">
      <c r="A1" s="1" t="s">
        <v>430</v>
      </c>
      <c r="B1" s="1" t="s">
        <v>304</v>
      </c>
      <c r="C1" s="3" t="s">
        <v>302</v>
      </c>
      <c r="D1" s="3" t="s">
        <v>303</v>
      </c>
      <c r="E1" s="3" t="s">
        <v>306</v>
      </c>
      <c r="F1" s="3" t="s">
        <v>429</v>
      </c>
      <c r="I1" s="7" t="s">
        <v>428</v>
      </c>
      <c r="J1" t="s">
        <v>428</v>
      </c>
    </row>
    <row r="2" spans="1:10" x14ac:dyDescent="0.3">
      <c r="A2" t="s">
        <v>154</v>
      </c>
      <c r="B2" t="s">
        <v>37</v>
      </c>
      <c r="C2" t="str">
        <f>VLOOKUP(B2,OLD!$A$2:$C$131,2,)</f>
        <v>Miscellaneous</v>
      </c>
      <c r="D2" t="str">
        <f>VLOOKUP(B2,OLD!$A$2:$C$131,3,FALSE)</f>
        <v>Other</v>
      </c>
      <c r="E2" t="str">
        <f>VLOOKUP(B2,OLD!$A$2:$E$131,4,TRUE)</f>
        <v>Diversified</v>
      </c>
      <c r="F2" t="str">
        <f>VLOOKUP(B2,OLD!$A$2:$E$131,5,TRUE)</f>
        <v>Capital Allocation Template</v>
      </c>
      <c r="H2" t="s">
        <v>428</v>
      </c>
    </row>
    <row r="3" spans="1:10" x14ac:dyDescent="0.3">
      <c r="A3" t="s">
        <v>185</v>
      </c>
      <c r="B3" t="s">
        <v>37</v>
      </c>
      <c r="C3" t="str">
        <f>VLOOKUP(B3,OLD!$A$2:$C$131,2,)</f>
        <v>Miscellaneous</v>
      </c>
      <c r="D3" t="str">
        <f>VLOOKUP(B3,OLD!$A$2:$C$131,3,FALSE)</f>
        <v>Other</v>
      </c>
      <c r="E3" t="str">
        <f>VLOOKUP(B3,OLD!$A$2:$E$131,4,TRUE)</f>
        <v>Diversified</v>
      </c>
      <c r="F3" t="str">
        <f>VLOOKUP(B3,OLD!$A$2:$E$131,5,TRUE)</f>
        <v>Capital Allocation Template</v>
      </c>
    </row>
    <row r="4" spans="1:10" x14ac:dyDescent="0.3">
      <c r="A4" t="s">
        <v>181</v>
      </c>
      <c r="B4" t="s">
        <v>85</v>
      </c>
      <c r="C4" t="str">
        <f>VLOOKUP(B4,OLD!$A$2:$C$131,2,)</f>
        <v>Consumer services</v>
      </c>
      <c r="D4" t="str">
        <f>VLOOKUP(B4,OLD!$A$2:$C$131,3,FALSE)</f>
        <v>Other</v>
      </c>
      <c r="E4" t="str">
        <f>VLOOKUP(B4,OLD!$A$2:$E$131,4,TRUE)</f>
        <v>Media</v>
      </c>
      <c r="F4" t="str">
        <f>VLOOKUP(B4,OLD!$A$2:$E$131,5,TRUE)</f>
        <v>Asset Utilization Template</v>
      </c>
    </row>
    <row r="5" spans="1:10" x14ac:dyDescent="0.3">
      <c r="A5" t="s">
        <v>100</v>
      </c>
      <c r="B5" t="s">
        <v>101</v>
      </c>
      <c r="C5" t="str">
        <f>VLOOKUP(B5,OLD!$A$2:$C$131,2,)</f>
        <v>Electronic technology</v>
      </c>
      <c r="D5" t="str">
        <f>VLOOKUP(B5,OLD!$A$2:$C$131,3,FALSE)</f>
        <v>Other</v>
      </c>
      <c r="E5" t="str">
        <f>VLOOKUP(B5,OLD!$A$2:$E$131,4,TRUE)</f>
        <v>Industrial Manufacturing</v>
      </c>
      <c r="F5" t="str">
        <f>VLOOKUP(B5,OLD!$A$2:$E$131,5,TRUE)</f>
        <v>Infrastructure Template</v>
      </c>
    </row>
    <row r="6" spans="1:10" x14ac:dyDescent="0.3">
      <c r="A6" t="s">
        <v>208</v>
      </c>
      <c r="B6" t="s">
        <v>209</v>
      </c>
      <c r="C6" t="str">
        <f>VLOOKUP(B6,OLD!$A$2:$C$131,2,)</f>
        <v>Transportation</v>
      </c>
      <c r="D6" t="str">
        <f>VLOOKUP(B6,OLD!$A$2:$C$131,3,FALSE)</f>
        <v>Other</v>
      </c>
      <c r="E6" t="str">
        <f>VLOOKUP(B6,OLD!$A$2:$E$131,4,TRUE)</f>
        <v>Asset Utilization</v>
      </c>
      <c r="F6" t="str">
        <f>VLOOKUP(B6,OLD!$A$2:$E$131,5,TRUE)</f>
        <v>Asset Utilization Template</v>
      </c>
    </row>
    <row r="7" spans="1:10" x14ac:dyDescent="0.3">
      <c r="A7" t="s">
        <v>200</v>
      </c>
      <c r="B7" t="s">
        <v>37</v>
      </c>
      <c r="C7" t="str">
        <f>VLOOKUP(B7,OLD!$A$2:$C$131,2,)</f>
        <v>Miscellaneous</v>
      </c>
      <c r="D7" t="str">
        <f>VLOOKUP(B7,OLD!$A$2:$C$131,3,FALSE)</f>
        <v>Other</v>
      </c>
      <c r="E7" t="str">
        <f>VLOOKUP(B7,OLD!$A$2:$E$131,4,TRUE)</f>
        <v>Diversified</v>
      </c>
      <c r="F7" t="str">
        <f>VLOOKUP(B7,OLD!$A$2:$E$131,5,TRUE)</f>
        <v>Capital Allocation Template</v>
      </c>
    </row>
    <row r="8" spans="1:10" x14ac:dyDescent="0.3">
      <c r="A8" t="s">
        <v>144</v>
      </c>
      <c r="B8" t="s">
        <v>1</v>
      </c>
      <c r="C8" t="str">
        <f>VLOOKUP(B8,OLD!$A$2:$C$131,2,)</f>
        <v>Non-energy minerals</v>
      </c>
      <c r="D8" t="str">
        <f>VLOOKUP(B8,OLD!$A$2:$C$131,3,FALSE)</f>
        <v>Cement Chemical Metal</v>
      </c>
      <c r="E8" t="str">
        <f>VLOOKUP(B8,OLD!$A$2:$E$131,4,TRUE)</f>
        <v>Commodity Producer</v>
      </c>
      <c r="F8" t="str">
        <f>VLOOKUP(B8,OLD!$A$2:$E$131,5,TRUE)</f>
        <v>Commodity Template</v>
      </c>
    </row>
    <row r="9" spans="1:10" x14ac:dyDescent="0.3">
      <c r="A9" t="s">
        <v>122</v>
      </c>
      <c r="B9" t="s">
        <v>1</v>
      </c>
      <c r="C9" t="str">
        <f>VLOOKUP(B9,OLD!$A$2:$C$131,2,)</f>
        <v>Non-energy minerals</v>
      </c>
      <c r="D9" t="str">
        <f>VLOOKUP(B9,OLD!$A$2:$C$131,3,FALSE)</f>
        <v>Cement Chemical Metal</v>
      </c>
      <c r="E9" t="str">
        <f>VLOOKUP(B9,OLD!$A$2:$E$131,4,TRUE)</f>
        <v>Commodity Producer</v>
      </c>
      <c r="F9" t="str">
        <f>VLOOKUP(B9,OLD!$A$2:$E$131,5,TRUE)</f>
        <v>Commodity Template</v>
      </c>
      <c r="H9" t="s">
        <v>428</v>
      </c>
    </row>
    <row r="10" spans="1:10" x14ac:dyDescent="0.3">
      <c r="A10" t="s">
        <v>113</v>
      </c>
      <c r="B10" t="s">
        <v>37</v>
      </c>
      <c r="C10" t="str">
        <f>VLOOKUP(B10,OLD!$A$2:$C$131,2,)</f>
        <v>Miscellaneous</v>
      </c>
      <c r="D10" t="str">
        <f>VLOOKUP(B10,OLD!$A$2:$C$131,3,FALSE)</f>
        <v>Other</v>
      </c>
      <c r="E10" t="str">
        <f>VLOOKUP(B10,OLD!$A$2:$E$131,4,TRUE)</f>
        <v>Diversified</v>
      </c>
      <c r="F10" t="str">
        <f>VLOOKUP(B10,OLD!$A$2:$E$131,5,TRUE)</f>
        <v>Capital Allocation Template</v>
      </c>
    </row>
    <row r="11" spans="1:10" x14ac:dyDescent="0.3">
      <c r="A11" t="s">
        <v>112</v>
      </c>
      <c r="B11" t="s">
        <v>37</v>
      </c>
      <c r="C11" t="str">
        <f>VLOOKUP(B11,OLD!$A$2:$C$131,2,)</f>
        <v>Miscellaneous</v>
      </c>
      <c r="D11" t="str">
        <f>VLOOKUP(B11,OLD!$A$2:$C$131,3,FALSE)</f>
        <v>Other</v>
      </c>
      <c r="E11" t="str">
        <f>VLOOKUP(B11,OLD!$A$2:$E$131,4,TRUE)</f>
        <v>Diversified</v>
      </c>
      <c r="F11" t="str">
        <f>VLOOKUP(B11,OLD!$A$2:$E$131,5,TRUE)</f>
        <v>Capital Allocation Template</v>
      </c>
    </row>
    <row r="12" spans="1:10" x14ac:dyDescent="0.3">
      <c r="A12" t="s">
        <v>89</v>
      </c>
      <c r="B12" t="s">
        <v>90</v>
      </c>
      <c r="C12" t="str">
        <f>VLOOKUP(B12,OLD!$A$2:$C$131,2,)</f>
        <v>Finance</v>
      </c>
      <c r="D12" t="str">
        <f>VLOOKUP(B12,OLD!$A$2:$C$131,3,FALSE)</f>
        <v>Finance</v>
      </c>
      <c r="E12" t="str">
        <f>VLOOKUP(B12,OLD!$A$2:$E$131,4,TRUE)</f>
        <v>Fee Based Financial</v>
      </c>
      <c r="F12" t="str">
        <f>VLOOKUP(B12,OLD!$A$2:$E$131,5,TRUE)</f>
        <v>Asset Management Template</v>
      </c>
    </row>
    <row r="13" spans="1:10" x14ac:dyDescent="0.3">
      <c r="A13" t="s">
        <v>115</v>
      </c>
      <c r="B13" t="s">
        <v>116</v>
      </c>
      <c r="C13" t="str">
        <f>VLOOKUP(B13,OLD!$A$2:$C$131,2,)</f>
        <v>Producer manufacturing</v>
      </c>
      <c r="D13" t="str">
        <f>VLOOKUP(B13,OLD!$A$2:$C$131,3,FALSE)</f>
        <v>Auto</v>
      </c>
      <c r="E13" t="str">
        <f>VLOOKUP(B13,OLD!$A$2:$E$131,4,TRUE)</f>
        <v>Manufacturing</v>
      </c>
      <c r="F13" t="str">
        <f>VLOOKUP(B13,OLD!$A$2:$E$131,5,TRUE)</f>
        <v>Manufacturing Template</v>
      </c>
    </row>
    <row r="14" spans="1:10" x14ac:dyDescent="0.3">
      <c r="A14" t="s">
        <v>431</v>
      </c>
      <c r="B14" t="s">
        <v>37</v>
      </c>
      <c r="C14" t="str">
        <f>VLOOKUP(B14,OLD!$A$2:$C$131,2,)</f>
        <v>Miscellaneous</v>
      </c>
      <c r="D14" t="str">
        <f>VLOOKUP(B14,OLD!$A$2:$C$131,3,FALSE)</f>
        <v>Other</v>
      </c>
      <c r="E14" t="str">
        <f>VLOOKUP(B14,OLD!$A$2:$E$131,4,TRUE)</f>
        <v>Diversified</v>
      </c>
      <c r="F14" t="str">
        <f>VLOOKUP(B14,OLD!$A$2:$E$131,5,TRUE)</f>
        <v>Capital Allocation Template</v>
      </c>
    </row>
    <row r="15" spans="1:10" x14ac:dyDescent="0.3">
      <c r="A15" t="s">
        <v>94</v>
      </c>
      <c r="B15" t="s">
        <v>94</v>
      </c>
      <c r="C15" t="str">
        <f>VLOOKUP(B15,OLD!$A$2:$C$131,2,)</f>
        <v>Health technology</v>
      </c>
      <c r="D15" t="str">
        <f>VLOOKUP(B15,OLD!$A$2:$C$131,3,FALSE)</f>
        <v>Healthcare</v>
      </c>
      <c r="E15" t="str">
        <f>VLOOKUP(B15,OLD!$A$2:$E$131,4,TRUE)</f>
        <v>Contract Research</v>
      </c>
      <c r="F15" t="str">
        <f>VLOOKUP(B15,OLD!$A$2:$E$131,5,TRUE)</f>
        <v>Specialty Manufacturing Template</v>
      </c>
    </row>
    <row r="16" spans="1:10" x14ac:dyDescent="0.3">
      <c r="A16" t="s">
        <v>103</v>
      </c>
      <c r="B16" t="s">
        <v>37</v>
      </c>
      <c r="C16" t="str">
        <f>VLOOKUP(B16,OLD!$A$2:$C$131,2,)</f>
        <v>Miscellaneous</v>
      </c>
      <c r="D16" t="str">
        <f>VLOOKUP(B16,OLD!$A$2:$C$131,3,FALSE)</f>
        <v>Other</v>
      </c>
      <c r="E16" t="str">
        <f>VLOOKUP(B16,OLD!$A$2:$E$131,4,TRUE)</f>
        <v>Diversified</v>
      </c>
      <c r="F16" t="str">
        <f>VLOOKUP(B16,OLD!$A$2:$E$131,5,TRUE)</f>
        <v>Capital Allocation Template</v>
      </c>
    </row>
    <row r="17" spans="1:7" x14ac:dyDescent="0.3">
      <c r="A17" t="s">
        <v>432</v>
      </c>
      <c r="B17" t="s">
        <v>37</v>
      </c>
      <c r="C17" t="str">
        <f>VLOOKUP(B17,OLD!$A$2:$C$131,2,)</f>
        <v>Miscellaneous</v>
      </c>
      <c r="D17" t="str">
        <f>VLOOKUP(B17,OLD!$A$2:$C$131,3,FALSE)</f>
        <v>Other</v>
      </c>
      <c r="E17" t="str">
        <f>VLOOKUP(B17,OLD!$A$2:$E$131,4,TRUE)</f>
        <v>Diversified</v>
      </c>
      <c r="F17" t="str">
        <f>VLOOKUP(B17,OLD!$A$2:$E$131,5,TRUE)</f>
        <v>Capital Allocation Template</v>
      </c>
    </row>
    <row r="18" spans="1:7" x14ac:dyDescent="0.3">
      <c r="A18" t="s">
        <v>92</v>
      </c>
      <c r="B18" t="s">
        <v>37</v>
      </c>
      <c r="C18" t="str">
        <f>VLOOKUP(B18,OLD!$A$2:$C$131,2,)</f>
        <v>Miscellaneous</v>
      </c>
      <c r="D18" t="str">
        <f>VLOOKUP(B18,OLD!$A$2:$C$131,3,FALSE)</f>
        <v>Other</v>
      </c>
      <c r="E18" t="str">
        <f>VLOOKUP(B18,OLD!$A$2:$E$131,4,TRUE)</f>
        <v>Diversified</v>
      </c>
      <c r="F18" t="str">
        <f>VLOOKUP(B18,OLD!$A$2:$E$131,5,TRUE)</f>
        <v>Capital Allocation Template</v>
      </c>
    </row>
    <row r="19" spans="1:7" x14ac:dyDescent="0.3">
      <c r="A19" t="s">
        <v>214</v>
      </c>
      <c r="B19" t="s">
        <v>37</v>
      </c>
      <c r="C19" t="str">
        <f>VLOOKUP(B19,OLD!$A$2:$C$131,2,)</f>
        <v>Miscellaneous</v>
      </c>
      <c r="D19" t="str">
        <f>VLOOKUP(B19,OLD!$A$2:$C$131,3,FALSE)</f>
        <v>Other</v>
      </c>
      <c r="E19" t="str">
        <f>VLOOKUP(B19,OLD!$A$2:$E$131,4,TRUE)</f>
        <v>Diversified</v>
      </c>
      <c r="F19" t="str">
        <f>VLOOKUP(B19,OLD!$A$2:$E$131,5,TRUE)</f>
        <v>Capital Allocation Template</v>
      </c>
    </row>
    <row r="20" spans="1:7" ht="14.4" customHeight="1" x14ac:dyDescent="0.3">
      <c r="A20" t="s">
        <v>62</v>
      </c>
      <c r="B20" t="s">
        <v>37</v>
      </c>
      <c r="C20" t="str">
        <f>VLOOKUP(B20,OLD!$A$2:$C$131,2,)</f>
        <v>Miscellaneous</v>
      </c>
      <c r="D20" t="str">
        <f>VLOOKUP(B20,OLD!$A$2:$C$131,3,FALSE)</f>
        <v>Other</v>
      </c>
      <c r="E20" t="str">
        <f>VLOOKUP(B20,OLD!$A$2:$E$131,4,TRUE)</f>
        <v>Diversified</v>
      </c>
      <c r="F20" t="str">
        <f>VLOOKUP(B20,OLD!$A$2:$E$131,5,TRUE)</f>
        <v>Capital Allocation Template</v>
      </c>
      <c r="G20" s="8" t="s">
        <v>428</v>
      </c>
    </row>
    <row r="21" spans="1:7" ht="14.4" customHeight="1" x14ac:dyDescent="0.3">
      <c r="A21" t="s">
        <v>69</v>
      </c>
      <c r="B21" t="s">
        <v>70</v>
      </c>
      <c r="C21" t="str">
        <f>VLOOKUP(B21,OLD!$A$2:$C$131,2,)</f>
        <v>Non-energy minerals</v>
      </c>
      <c r="D21" t="str">
        <f>VLOOKUP(B21,OLD!$A$2:$C$131,3,FALSE)</f>
        <v>Cement Chemical Metal</v>
      </c>
      <c r="E21" t="str">
        <f>VLOOKUP(B21,OLD!$A$2:$E$131,4,TRUE)</f>
        <v>Commodity Producer</v>
      </c>
      <c r="F21" t="str">
        <f>VLOOKUP(B21,OLD!$A$2:$E$131,5,TRUE)</f>
        <v>Commodity Template</v>
      </c>
      <c r="G21" s="8"/>
    </row>
    <row r="22" spans="1:7" x14ac:dyDescent="0.3">
      <c r="A22" t="s">
        <v>151</v>
      </c>
      <c r="B22" t="s">
        <v>37</v>
      </c>
      <c r="C22" t="str">
        <f>VLOOKUP(B22,OLD!$A$2:$C$131,2,)</f>
        <v>Miscellaneous</v>
      </c>
      <c r="D22" t="str">
        <f>VLOOKUP(B22,OLD!$A$2:$C$131,3,FALSE)</f>
        <v>Other</v>
      </c>
      <c r="E22" t="str">
        <f>VLOOKUP(B22,OLD!$A$2:$E$131,4,TRUE)</f>
        <v>Diversified</v>
      </c>
      <c r="F22" t="str">
        <f>VLOOKUP(B22,OLD!$A$2:$E$131,5,TRUE)</f>
        <v>Capital Allocation Template</v>
      </c>
      <c r="G22" s="8"/>
    </row>
    <row r="23" spans="1:7" ht="14.4" customHeight="1" x14ac:dyDescent="0.3">
      <c r="A23" t="s">
        <v>203</v>
      </c>
      <c r="B23" t="s">
        <v>37</v>
      </c>
      <c r="C23" t="str">
        <f>VLOOKUP(B23,OLD!$A$2:$C$131,2,)</f>
        <v>Miscellaneous</v>
      </c>
      <c r="D23" t="str">
        <f>VLOOKUP(B23,OLD!$A$2:$C$131,3,FALSE)</f>
        <v>Other</v>
      </c>
      <c r="E23" t="str">
        <f>VLOOKUP(B23,OLD!$A$2:$E$131,4,TRUE)</f>
        <v>Diversified</v>
      </c>
      <c r="F23" t="str">
        <f>VLOOKUP(B23,OLD!$A$2:$E$131,5,TRUE)</f>
        <v>Capital Allocation Template</v>
      </c>
      <c r="G23" s="8"/>
    </row>
    <row r="24" spans="1:7" ht="14.4" customHeight="1" x14ac:dyDescent="0.3">
      <c r="A24" t="s">
        <v>23</v>
      </c>
      <c r="B24" t="s">
        <v>24</v>
      </c>
      <c r="C24" t="str">
        <f>VLOOKUP(B24,OLD!$A$2:$C$131,2,)</f>
        <v>Industrial services</v>
      </c>
      <c r="D24" t="str">
        <f>VLOOKUP(B24,OLD!$A$2:$C$131,3,FALSE)</f>
        <v>Other</v>
      </c>
      <c r="E24" t="str">
        <f>VLOOKUP(B24,OLD!$A$2:$E$131,4,TRUE)</f>
        <v>Project Execution</v>
      </c>
      <c r="F24" t="str">
        <f>VLOOKUP(B24,OLD!$A$2:$E$131,5,TRUE)</f>
        <v>Infrastructure Template</v>
      </c>
      <c r="G24" s="8"/>
    </row>
    <row r="25" spans="1:7" ht="14.4" customHeight="1" x14ac:dyDescent="0.3">
      <c r="A25" t="s">
        <v>174</v>
      </c>
      <c r="B25" t="s">
        <v>174</v>
      </c>
      <c r="C25" t="str">
        <f>VLOOKUP(B25,OLD!$A$2:$C$131,2,)</f>
        <v>Energy minerals</v>
      </c>
      <c r="D25" t="str">
        <f>VLOOKUP(B25,OLD!$A$2:$C$131,3,FALSE)</f>
        <v>Cement Chemical Metal</v>
      </c>
      <c r="E25" t="str">
        <f>VLOOKUP(B25,OLD!$A$2:$E$131,4,TRUE)</f>
        <v>Commodity Producer</v>
      </c>
      <c r="F25" t="str">
        <f>VLOOKUP(B25,OLD!$A$2:$E$131,5,TRUE)</f>
        <v>Commodity Template</v>
      </c>
      <c r="G25" s="8"/>
    </row>
    <row r="26" spans="1:7" ht="14.4" customHeight="1" x14ac:dyDescent="0.3">
      <c r="A26" t="s">
        <v>149</v>
      </c>
      <c r="B26" t="s">
        <v>37</v>
      </c>
      <c r="C26" t="str">
        <f>VLOOKUP(B26,OLD!$A$2:$C$131,2,)</f>
        <v>Miscellaneous</v>
      </c>
      <c r="D26" t="str">
        <f>VLOOKUP(B26,OLD!$A$2:$C$131,3,FALSE)</f>
        <v>Other</v>
      </c>
      <c r="E26" t="str">
        <f>VLOOKUP(B26,OLD!$A$2:$E$131,4,TRUE)</f>
        <v>Diversified</v>
      </c>
      <c r="F26" t="str">
        <f>VLOOKUP(B26,OLD!$A$2:$E$131,5,TRUE)</f>
        <v>Capital Allocation Template</v>
      </c>
      <c r="G26" s="8"/>
    </row>
    <row r="27" spans="1:7" ht="14.4" customHeight="1" x14ac:dyDescent="0.3">
      <c r="A27" t="s">
        <v>93</v>
      </c>
      <c r="B27" t="s">
        <v>34</v>
      </c>
      <c r="C27" t="str">
        <f>VLOOKUP(B27,OLD!$A$2:$C$131,2,)</f>
        <v>Process industries</v>
      </c>
      <c r="D27" t="str">
        <f>VLOOKUP(B27,OLD!$A$2:$C$131,3,FALSE)</f>
        <v>Cement Chemical Metal</v>
      </c>
      <c r="E27" t="str">
        <f>VLOOKUP(B27,OLD!$A$2:$E$131,4,TRUE)</f>
        <v>Manufacturing</v>
      </c>
      <c r="F27" t="str">
        <f>VLOOKUP(B27,OLD!$A$2:$E$131,5,TRUE)</f>
        <v>Manufacturing Template</v>
      </c>
      <c r="G27" s="8"/>
    </row>
    <row r="28" spans="1:7" ht="14.4" customHeight="1" x14ac:dyDescent="0.3">
      <c r="A28" t="s">
        <v>195</v>
      </c>
      <c r="B28" t="s">
        <v>37</v>
      </c>
      <c r="C28" t="str">
        <f>VLOOKUP(B28,OLD!$A$2:$C$131,2,)</f>
        <v>Miscellaneous</v>
      </c>
      <c r="D28" t="str">
        <f>VLOOKUP(B28,OLD!$A$2:$C$131,3,FALSE)</f>
        <v>Other</v>
      </c>
      <c r="E28" t="str">
        <f>VLOOKUP(B28,OLD!$A$2:$E$131,4,TRUE)</f>
        <v>Diversified</v>
      </c>
      <c r="F28" t="str">
        <f>VLOOKUP(B28,OLD!$A$2:$E$131,5,TRUE)</f>
        <v>Capital Allocation Template</v>
      </c>
      <c r="G28" s="8"/>
    </row>
    <row r="29" spans="1:7" ht="14.4" customHeight="1" x14ac:dyDescent="0.3">
      <c r="A29" t="s">
        <v>433</v>
      </c>
      <c r="B29" t="s">
        <v>10</v>
      </c>
      <c r="C29" t="str">
        <f>VLOOKUP(B29,OLD!$A$2:$C$131,2,)</f>
        <v>Technology services</v>
      </c>
      <c r="D29" t="str">
        <f>VLOOKUP(B29,OLD!$A$2:$C$131,3,FALSE)</f>
        <v>IT</v>
      </c>
      <c r="E29" t="str">
        <f>VLOOKUP(B29,OLD!$A$2:$E$131,4,TRUE)</f>
        <v>Human Capital Services</v>
      </c>
      <c r="F29" t="str">
        <f>VLOOKUP(B29,OLD!$A$2:$E$131,5,TRUE)</f>
        <v>Technology Template</v>
      </c>
      <c r="G29" s="8"/>
    </row>
    <row r="30" spans="1:7" ht="14.4" customHeight="1" x14ac:dyDescent="0.3">
      <c r="A30" t="s">
        <v>76</v>
      </c>
      <c r="B30" t="s">
        <v>37</v>
      </c>
      <c r="C30" t="str">
        <f>VLOOKUP(B30,OLD!$A$2:$C$131,2,)</f>
        <v>Miscellaneous</v>
      </c>
      <c r="D30" t="str">
        <f>VLOOKUP(B30,OLD!$A$2:$C$131,3,FALSE)</f>
        <v>Other</v>
      </c>
      <c r="E30" t="str">
        <f>VLOOKUP(B30,OLD!$A$2:$E$131,4,TRUE)</f>
        <v>Diversified</v>
      </c>
      <c r="F30" t="str">
        <f>VLOOKUP(B30,OLD!$A$2:$E$131,5,TRUE)</f>
        <v>Capital Allocation Template</v>
      </c>
      <c r="G30" s="8"/>
    </row>
    <row r="31" spans="1:7" ht="14.4" customHeight="1" x14ac:dyDescent="0.3">
      <c r="A31" t="s">
        <v>79</v>
      </c>
      <c r="B31" t="s">
        <v>37</v>
      </c>
      <c r="C31" t="str">
        <f>VLOOKUP(B31,OLD!$A$2:$C$131,2,)</f>
        <v>Miscellaneous</v>
      </c>
      <c r="D31" t="str">
        <f>VLOOKUP(B31,OLD!$A$2:$C$131,3,FALSE)</f>
        <v>Other</v>
      </c>
      <c r="E31" t="str">
        <f>VLOOKUP(B31,OLD!$A$2:$E$131,4,TRUE)</f>
        <v>Diversified</v>
      </c>
      <c r="F31" t="str">
        <f>VLOOKUP(B31,OLD!$A$2:$E$131,5,TRUE)</f>
        <v>Capital Allocation Template</v>
      </c>
      <c r="G31" s="8"/>
    </row>
    <row r="32" spans="1:7" ht="14.4" customHeight="1" x14ac:dyDescent="0.3">
      <c r="A32" t="s">
        <v>434</v>
      </c>
      <c r="B32" t="s">
        <v>37</v>
      </c>
      <c r="C32" t="str">
        <f>VLOOKUP(B32,OLD!$A$2:$C$131,2,)</f>
        <v>Miscellaneous</v>
      </c>
      <c r="D32" t="str">
        <f>VLOOKUP(B32,OLD!$A$2:$C$131,3,FALSE)</f>
        <v>Other</v>
      </c>
      <c r="E32" t="str">
        <f>VLOOKUP(B32,OLD!$A$2:$E$131,4,TRUE)</f>
        <v>Diversified</v>
      </c>
      <c r="F32" t="str">
        <f>VLOOKUP(B32,OLD!$A$2:$E$131,5,TRUE)</f>
        <v>Capital Allocation Template</v>
      </c>
      <c r="G32" s="8"/>
    </row>
    <row r="33" spans="1:7" ht="14.4" customHeight="1" x14ac:dyDescent="0.3">
      <c r="A33" t="s">
        <v>145</v>
      </c>
      <c r="B33" t="s">
        <v>146</v>
      </c>
      <c r="C33" t="str">
        <f>VLOOKUP(B33,OLD!$A$2:$C$131,2,)</f>
        <v>Consumer durables</v>
      </c>
      <c r="D33" t="str">
        <f>VLOOKUP(B33,OLD!$A$2:$C$131,3,FALSE)</f>
        <v>Consumption &amp; FMCG</v>
      </c>
      <c r="E33" t="str">
        <f>VLOOKUP(B33,OLD!$A$2:$E$131,4,TRUE)</f>
        <v>Consumer Manufacturing</v>
      </c>
      <c r="F33" t="str">
        <f>VLOOKUP(B33,OLD!$A$2:$E$131,5,TRUE)</f>
        <v>Manufacturing Template</v>
      </c>
      <c r="G33" s="8"/>
    </row>
    <row r="34" spans="1:7" ht="14.4" customHeight="1" x14ac:dyDescent="0.3">
      <c r="A34" t="s">
        <v>173</v>
      </c>
      <c r="B34" t="s">
        <v>1</v>
      </c>
      <c r="C34" t="str">
        <f>VLOOKUP(B34,OLD!$A$2:$C$131,2,)</f>
        <v>Non-energy minerals</v>
      </c>
      <c r="D34" t="str">
        <f>VLOOKUP(B34,OLD!$A$2:$C$131,3,FALSE)</f>
        <v>Cement Chemical Metal</v>
      </c>
      <c r="E34" t="str">
        <f>VLOOKUP(B34,OLD!$A$2:$E$131,4,TRUE)</f>
        <v>Commodity Producer</v>
      </c>
      <c r="F34" t="str">
        <f>VLOOKUP(B34,OLD!$A$2:$E$131,5,TRUE)</f>
        <v>Commodity Template</v>
      </c>
      <c r="G34" s="8"/>
    </row>
    <row r="35" spans="1:7" ht="14.4" customHeight="1" x14ac:dyDescent="0.3">
      <c r="A35" t="s">
        <v>155</v>
      </c>
      <c r="B35" t="s">
        <v>37</v>
      </c>
      <c r="C35" t="str">
        <f>VLOOKUP(B35,OLD!$A$2:$C$131,2,)</f>
        <v>Miscellaneous</v>
      </c>
      <c r="D35" t="str">
        <f>VLOOKUP(B35,OLD!$A$2:$C$131,3,FALSE)</f>
        <v>Other</v>
      </c>
      <c r="E35" t="str">
        <f>VLOOKUP(B35,OLD!$A$2:$E$131,4,TRUE)</f>
        <v>Diversified</v>
      </c>
      <c r="F35" t="str">
        <f>VLOOKUP(B35,OLD!$A$2:$E$131,5,TRUE)</f>
        <v>Capital Allocation Template</v>
      </c>
      <c r="G35" s="8"/>
    </row>
    <row r="36" spans="1:7" ht="14.4" customHeight="1" x14ac:dyDescent="0.3">
      <c r="A36" t="s">
        <v>199</v>
      </c>
      <c r="B36" t="s">
        <v>16</v>
      </c>
      <c r="C36" t="str">
        <f>VLOOKUP(B36,OLD!$A$2:$C$131,2,)</f>
        <v>Consumer non-durables</v>
      </c>
      <c r="D36" t="str">
        <f>VLOOKUP(B36,OLD!$A$2:$C$131,3,FALSE)</f>
        <v>Consumption &amp; FMCG</v>
      </c>
      <c r="E36" t="str">
        <f>VLOOKUP(B36,OLD!$A$2:$E$131,4,TRUE)</f>
        <v>Brand Franchise</v>
      </c>
      <c r="F36" t="str">
        <f>VLOOKUP(B36,OLD!$A$2:$E$131,5,TRUE)</f>
        <v>Consumer Brand Template</v>
      </c>
      <c r="G36" s="8"/>
    </row>
    <row r="37" spans="1:7" ht="14.4" customHeight="1" x14ac:dyDescent="0.3">
      <c r="A37" t="s">
        <v>226</v>
      </c>
      <c r="B37" t="s">
        <v>37</v>
      </c>
      <c r="C37" t="str">
        <f>VLOOKUP(B37,OLD!$A$2:$C$131,2,)</f>
        <v>Miscellaneous</v>
      </c>
      <c r="D37" t="str">
        <f>VLOOKUP(B37,OLD!$A$2:$C$131,3,FALSE)</f>
        <v>Other</v>
      </c>
      <c r="E37" t="str">
        <f>VLOOKUP(B37,OLD!$A$2:$E$131,4,TRUE)</f>
        <v>Diversified</v>
      </c>
      <c r="F37" t="str">
        <f>VLOOKUP(B37,OLD!$A$2:$E$131,5,TRUE)</f>
        <v>Capital Allocation Template</v>
      </c>
      <c r="G37" s="8"/>
    </row>
    <row r="38" spans="1:7" ht="14.4" customHeight="1" x14ac:dyDescent="0.3">
      <c r="A38" t="s">
        <v>219</v>
      </c>
      <c r="B38" t="s">
        <v>37</v>
      </c>
      <c r="C38" t="str">
        <f>VLOOKUP(B38,OLD!$A$2:$C$131,2,)</f>
        <v>Miscellaneous</v>
      </c>
      <c r="D38" t="str">
        <f>VLOOKUP(B38,OLD!$A$2:$C$131,3,FALSE)</f>
        <v>Other</v>
      </c>
      <c r="E38" t="str">
        <f>VLOOKUP(B38,OLD!$A$2:$E$131,4,TRUE)</f>
        <v>Diversified</v>
      </c>
      <c r="F38" t="str">
        <f>VLOOKUP(B38,OLD!$A$2:$E$131,5,TRUE)</f>
        <v>Capital Allocation Template</v>
      </c>
      <c r="G38" s="8"/>
    </row>
    <row r="39" spans="1:7" ht="14.4" customHeight="1" x14ac:dyDescent="0.3">
      <c r="A39" t="s">
        <v>170</v>
      </c>
      <c r="B39" t="s">
        <v>85</v>
      </c>
      <c r="C39" t="str">
        <f>VLOOKUP(B39,OLD!$A$2:$C$131,2,)</f>
        <v>Consumer services</v>
      </c>
      <c r="D39" t="str">
        <f>VLOOKUP(B39,OLD!$A$2:$C$131,3,FALSE)</f>
        <v>Other</v>
      </c>
      <c r="E39" t="str">
        <f>VLOOKUP(B39,OLD!$A$2:$E$131,4,TRUE)</f>
        <v>Media</v>
      </c>
      <c r="F39" t="str">
        <f>VLOOKUP(B39,OLD!$A$2:$E$131,5,TRUE)</f>
        <v>Asset Utilization Template</v>
      </c>
      <c r="G39" s="8"/>
    </row>
    <row r="40" spans="1:7" ht="14.4" customHeight="1" x14ac:dyDescent="0.3">
      <c r="A40" t="s">
        <v>19</v>
      </c>
      <c r="B40" t="s">
        <v>20</v>
      </c>
      <c r="C40" t="str">
        <f>VLOOKUP(B40,OLD!$A$2:$C$131,2,)</f>
        <v>Consumer services</v>
      </c>
      <c r="D40" t="str">
        <f>VLOOKUP(B40,OLD!$A$2:$C$131,3,FALSE)</f>
        <v>Other</v>
      </c>
      <c r="E40" t="str">
        <f>VLOOKUP(B40,OLD!$A$2:$E$131,4,TRUE)</f>
        <v>Media</v>
      </c>
      <c r="F40" t="str">
        <f>VLOOKUP(B40,OLD!$A$2:$E$131,5,TRUE)</f>
        <v>Asset Utilization Template</v>
      </c>
      <c r="G40" s="8"/>
    </row>
    <row r="41" spans="1:7" ht="14.4" customHeight="1" x14ac:dyDescent="0.3">
      <c r="A41" t="s">
        <v>75</v>
      </c>
      <c r="B41" t="s">
        <v>37</v>
      </c>
      <c r="C41" t="str">
        <f>VLOOKUP(B41,OLD!$A$2:$C$131,2,)</f>
        <v>Miscellaneous</v>
      </c>
      <c r="D41" t="str">
        <f>VLOOKUP(B41,OLD!$A$2:$C$131,3,FALSE)</f>
        <v>Other</v>
      </c>
      <c r="E41" t="str">
        <f>VLOOKUP(B41,OLD!$A$2:$E$131,4,TRUE)</f>
        <v>Diversified</v>
      </c>
      <c r="F41" t="str">
        <f>VLOOKUP(B41,OLD!$A$2:$E$131,5,TRUE)</f>
        <v>Capital Allocation Template</v>
      </c>
      <c r="G41" s="8"/>
    </row>
    <row r="42" spans="1:7" ht="14.4" customHeight="1" x14ac:dyDescent="0.3">
      <c r="A42" t="s">
        <v>11</v>
      </c>
      <c r="B42" t="s">
        <v>12</v>
      </c>
      <c r="C42" t="str">
        <f>VLOOKUP(B42,OLD!$A$2:$C$131,2,)</f>
        <v>Producer manufacturing</v>
      </c>
      <c r="D42" t="str">
        <f>VLOOKUP(B42,OLD!$A$2:$C$131,3,FALSE)</f>
        <v>Other</v>
      </c>
      <c r="E42" t="str">
        <f>VLOOKUP(B42,OLD!$A$2:$E$131,4,TRUE)</f>
        <v>Capital Allocation</v>
      </c>
      <c r="F42" t="str">
        <f>VLOOKUP(B42,OLD!$A$2:$E$131,5,TRUE)</f>
        <v>Capital Allocation Template</v>
      </c>
      <c r="G42" s="8"/>
    </row>
    <row r="43" spans="1:7" ht="14.4" customHeight="1" x14ac:dyDescent="0.3">
      <c r="A43" t="s">
        <v>55</v>
      </c>
      <c r="B43" t="s">
        <v>37</v>
      </c>
      <c r="C43" t="str">
        <f>VLOOKUP(B43,OLD!$A$2:$C$131,2,)</f>
        <v>Miscellaneous</v>
      </c>
      <c r="D43" t="str">
        <f>VLOOKUP(B43,OLD!$A$2:$C$131,3,FALSE)</f>
        <v>Other</v>
      </c>
      <c r="E43" t="str">
        <f>VLOOKUP(B43,OLD!$A$2:$E$131,4,TRUE)</f>
        <v>Diversified</v>
      </c>
      <c r="F43" t="str">
        <f>VLOOKUP(B43,OLD!$A$2:$E$131,5,TRUE)</f>
        <v>Capital Allocation Template</v>
      </c>
      <c r="G43" s="8"/>
    </row>
    <row r="44" spans="1:7" ht="14.4" customHeight="1" x14ac:dyDescent="0.3">
      <c r="A44" t="s">
        <v>229</v>
      </c>
      <c r="B44" t="s">
        <v>37</v>
      </c>
      <c r="C44" t="str">
        <f>VLOOKUP(B44,OLD!$A$2:$C$131,2,)</f>
        <v>Miscellaneous</v>
      </c>
      <c r="D44" t="str">
        <f>VLOOKUP(B44,OLD!$A$2:$C$131,3,FALSE)</f>
        <v>Other</v>
      </c>
      <c r="E44" t="str">
        <f>VLOOKUP(B44,OLD!$A$2:$E$131,4,TRUE)</f>
        <v>Diversified</v>
      </c>
      <c r="F44" t="str">
        <f>VLOOKUP(B44,OLD!$A$2:$E$131,5,TRUE)</f>
        <v>Capital Allocation Template</v>
      </c>
      <c r="G44" s="8"/>
    </row>
    <row r="45" spans="1:7" ht="14.4" customHeight="1" x14ac:dyDescent="0.3">
      <c r="A45" t="s">
        <v>197</v>
      </c>
      <c r="B45" t="s">
        <v>37</v>
      </c>
      <c r="C45" t="str">
        <f>VLOOKUP(B45,OLD!$A$2:$C$131,2,)</f>
        <v>Miscellaneous</v>
      </c>
      <c r="D45" t="str">
        <f>VLOOKUP(B45,OLD!$A$2:$C$131,3,FALSE)</f>
        <v>Other</v>
      </c>
      <c r="E45" t="str">
        <f>VLOOKUP(B45,OLD!$A$2:$E$131,4,TRUE)</f>
        <v>Diversified</v>
      </c>
      <c r="F45" t="str">
        <f>VLOOKUP(B45,OLD!$A$2:$E$131,5,TRUE)</f>
        <v>Capital Allocation Template</v>
      </c>
      <c r="G45" s="8"/>
    </row>
    <row r="46" spans="1:7" ht="14.4" customHeight="1" x14ac:dyDescent="0.3">
      <c r="A46" t="s">
        <v>180</v>
      </c>
      <c r="B46" t="s">
        <v>1</v>
      </c>
      <c r="C46" t="str">
        <f>VLOOKUP(B46,OLD!$A$2:$C$131,2,)</f>
        <v>Non-energy minerals</v>
      </c>
      <c r="D46" t="str">
        <f>VLOOKUP(B46,OLD!$A$2:$C$131,3,FALSE)</f>
        <v>Cement Chemical Metal</v>
      </c>
      <c r="E46" t="str">
        <f>VLOOKUP(B46,OLD!$A$2:$E$131,4,TRUE)</f>
        <v>Commodity Producer</v>
      </c>
      <c r="F46" t="str">
        <f>VLOOKUP(B46,OLD!$A$2:$E$131,5,TRUE)</f>
        <v>Commodity Template</v>
      </c>
      <c r="G46" s="8"/>
    </row>
    <row r="47" spans="1:7" ht="14.4" customHeight="1" x14ac:dyDescent="0.3">
      <c r="A47" t="s">
        <v>91</v>
      </c>
      <c r="B47" t="s">
        <v>18</v>
      </c>
      <c r="C47" t="str">
        <f>VLOOKUP(B47,OLD!$A$2:$C$131,2,)</f>
        <v>Retail trade</v>
      </c>
      <c r="D47" t="str">
        <f>VLOOKUP(B47,OLD!$A$2:$C$131,3,FALSE)</f>
        <v>Other</v>
      </c>
      <c r="E47" t="str">
        <f>VLOOKUP(B47,OLD!$A$2:$E$131,4,TRUE)</f>
        <v>Store Economics</v>
      </c>
      <c r="F47" t="str">
        <f>VLOOKUP(B47,OLD!$A$2:$E$131,5,TRUE)</f>
        <v>Retail Template</v>
      </c>
      <c r="G47" s="8"/>
    </row>
    <row r="48" spans="1:7" ht="14.4" customHeight="1" x14ac:dyDescent="0.3">
      <c r="A48" t="s">
        <v>201</v>
      </c>
      <c r="B48" t="s">
        <v>37</v>
      </c>
      <c r="C48" t="str">
        <f>VLOOKUP(B48,OLD!$A$2:$C$131,2,)</f>
        <v>Miscellaneous</v>
      </c>
      <c r="D48" t="str">
        <f>VLOOKUP(B48,OLD!$A$2:$C$131,3,FALSE)</f>
        <v>Other</v>
      </c>
      <c r="E48" t="str">
        <f>VLOOKUP(B48,OLD!$A$2:$E$131,4,TRUE)</f>
        <v>Diversified</v>
      </c>
      <c r="F48" t="str">
        <f>VLOOKUP(B48,OLD!$A$2:$E$131,5,TRUE)</f>
        <v>Capital Allocation Template</v>
      </c>
      <c r="G48" s="8"/>
    </row>
    <row r="49" spans="1:7" ht="14.4" customHeight="1" x14ac:dyDescent="0.3">
      <c r="A49" t="s">
        <v>119</v>
      </c>
      <c r="B49" t="s">
        <v>37</v>
      </c>
      <c r="C49" t="str">
        <f>VLOOKUP(B49,OLD!$A$2:$C$131,2,)</f>
        <v>Miscellaneous</v>
      </c>
      <c r="D49" t="str">
        <f>VLOOKUP(B49,OLD!$A$2:$C$131,3,FALSE)</f>
        <v>Other</v>
      </c>
      <c r="E49" t="str">
        <f>VLOOKUP(B49,OLD!$A$2:$E$131,4,TRUE)</f>
        <v>Diversified</v>
      </c>
      <c r="F49" t="str">
        <f>VLOOKUP(B49,OLD!$A$2:$E$131,5,TRUE)</f>
        <v>Capital Allocation Template</v>
      </c>
      <c r="G49" s="8"/>
    </row>
    <row r="50" spans="1:7" ht="14.4" customHeight="1" x14ac:dyDescent="0.3">
      <c r="A50" t="s">
        <v>110</v>
      </c>
      <c r="B50" t="s">
        <v>16</v>
      </c>
      <c r="C50" t="str">
        <f>VLOOKUP(B50,OLD!$A$2:$C$131,2,)</f>
        <v>Consumer non-durables</v>
      </c>
      <c r="D50" t="str">
        <f>VLOOKUP(B50,OLD!$A$2:$C$131,3,FALSE)</f>
        <v>Consumption &amp; FMCG</v>
      </c>
      <c r="E50" t="str">
        <f>VLOOKUP(B50,OLD!$A$2:$E$131,4,TRUE)</f>
        <v>Brand Franchise</v>
      </c>
      <c r="F50" t="str">
        <f>VLOOKUP(B50,OLD!$A$2:$E$131,5,TRUE)</f>
        <v>Consumer Brand Template</v>
      </c>
      <c r="G50" s="8"/>
    </row>
    <row r="51" spans="1:7" ht="14.4" customHeight="1" x14ac:dyDescent="0.3">
      <c r="A51" t="s">
        <v>74</v>
      </c>
      <c r="B51" t="s">
        <v>37</v>
      </c>
      <c r="C51" t="str">
        <f>VLOOKUP(B51,OLD!$A$2:$C$131,2,)</f>
        <v>Miscellaneous</v>
      </c>
      <c r="D51" t="str">
        <f>VLOOKUP(B51,OLD!$A$2:$C$131,3,FALSE)</f>
        <v>Other</v>
      </c>
      <c r="E51" t="str">
        <f>VLOOKUP(B51,OLD!$A$2:$E$131,4,TRUE)</f>
        <v>Diversified</v>
      </c>
      <c r="F51" t="str">
        <f>VLOOKUP(B51,OLD!$A$2:$E$131,5,TRUE)</f>
        <v>Capital Allocation Template</v>
      </c>
      <c r="G51" s="8"/>
    </row>
    <row r="52" spans="1:7" ht="14.4" customHeight="1" x14ac:dyDescent="0.3">
      <c r="A52" t="s">
        <v>86</v>
      </c>
      <c r="B52" t="s">
        <v>37</v>
      </c>
      <c r="C52" t="str">
        <f>VLOOKUP(B52,OLD!$A$2:$C$131,2,)</f>
        <v>Miscellaneous</v>
      </c>
      <c r="D52" t="str">
        <f>VLOOKUP(B52,OLD!$A$2:$C$131,3,FALSE)</f>
        <v>Other</v>
      </c>
      <c r="E52" t="str">
        <f>VLOOKUP(B52,OLD!$A$2:$E$131,4,TRUE)</f>
        <v>Diversified</v>
      </c>
      <c r="F52" t="str">
        <f>VLOOKUP(B52,OLD!$A$2:$E$131,5,TRUE)</f>
        <v>Capital Allocation Template</v>
      </c>
      <c r="G52" s="8"/>
    </row>
    <row r="53" spans="1:7" ht="14.4" customHeight="1" x14ac:dyDescent="0.3">
      <c r="A53" t="s">
        <v>158</v>
      </c>
      <c r="B53" t="s">
        <v>37</v>
      </c>
      <c r="C53" t="str">
        <f>VLOOKUP(B53,OLD!$A$2:$C$131,2,)</f>
        <v>Miscellaneous</v>
      </c>
      <c r="D53" t="str">
        <f>VLOOKUP(B53,OLD!$A$2:$C$131,3,FALSE)</f>
        <v>Other</v>
      </c>
      <c r="E53" t="str">
        <f>VLOOKUP(B53,OLD!$A$2:$E$131,4,TRUE)</f>
        <v>Diversified</v>
      </c>
      <c r="F53" t="str">
        <f>VLOOKUP(B53,OLD!$A$2:$E$131,5,TRUE)</f>
        <v>Capital Allocation Template</v>
      </c>
      <c r="G53" s="8"/>
    </row>
    <row r="54" spans="1:7" ht="14.4" customHeight="1" x14ac:dyDescent="0.3">
      <c r="A54" t="s">
        <v>196</v>
      </c>
      <c r="B54" t="s">
        <v>85</v>
      </c>
      <c r="C54" t="str">
        <f>VLOOKUP(B54,OLD!$A$2:$C$131,2,)</f>
        <v>Consumer services</v>
      </c>
      <c r="D54" t="str">
        <f>VLOOKUP(B54,OLD!$A$2:$C$131,3,FALSE)</f>
        <v>Other</v>
      </c>
      <c r="E54" t="str">
        <f>VLOOKUP(B54,OLD!$A$2:$E$131,4,TRUE)</f>
        <v>Media</v>
      </c>
      <c r="F54" t="str">
        <f>VLOOKUP(B54,OLD!$A$2:$E$131,5,TRUE)</f>
        <v>Asset Utilization Template</v>
      </c>
      <c r="G54" s="8"/>
    </row>
    <row r="55" spans="1:7" ht="14.4" customHeight="1" x14ac:dyDescent="0.3">
      <c r="A55" t="s">
        <v>435</v>
      </c>
      <c r="B55" t="s">
        <v>18</v>
      </c>
      <c r="C55" t="str">
        <f>VLOOKUP(B55,OLD!$A$2:$C$131,2,)</f>
        <v>Retail trade</v>
      </c>
      <c r="D55" t="str">
        <f>VLOOKUP(B55,OLD!$A$2:$C$131,3,FALSE)</f>
        <v>Other</v>
      </c>
      <c r="E55" t="str">
        <f>VLOOKUP(B55,OLD!$A$2:$E$131,4,TRUE)</f>
        <v>Store Economics</v>
      </c>
      <c r="F55" t="str">
        <f>VLOOKUP(B55,OLD!$A$2:$E$131,5,TRUE)</f>
        <v>Retail Template</v>
      </c>
      <c r="G55" s="8"/>
    </row>
    <row r="56" spans="1:7" ht="14.4" customHeight="1" x14ac:dyDescent="0.3">
      <c r="A56" t="s">
        <v>182</v>
      </c>
      <c r="B56" t="s">
        <v>37</v>
      </c>
      <c r="C56" t="str">
        <f>VLOOKUP(B56,OLD!$A$2:$C$131,2,)</f>
        <v>Miscellaneous</v>
      </c>
      <c r="D56" t="str">
        <f>VLOOKUP(B56,OLD!$A$2:$C$131,3,FALSE)</f>
        <v>Other</v>
      </c>
      <c r="E56" t="str">
        <f>VLOOKUP(B56,OLD!$A$2:$E$131,4,TRUE)</f>
        <v>Diversified</v>
      </c>
      <c r="F56" t="str">
        <f>VLOOKUP(B56,OLD!$A$2:$E$131,5,TRUE)</f>
        <v>Capital Allocation Template</v>
      </c>
      <c r="G56" s="8"/>
    </row>
    <row r="57" spans="1:7" ht="14.4" customHeight="1" x14ac:dyDescent="0.3">
      <c r="A57" t="s">
        <v>171</v>
      </c>
      <c r="B57" t="s">
        <v>37</v>
      </c>
      <c r="C57" t="str">
        <f>VLOOKUP(B57,OLD!$A$2:$C$131,2,)</f>
        <v>Miscellaneous</v>
      </c>
      <c r="D57" t="str">
        <f>VLOOKUP(B57,OLD!$A$2:$C$131,3,FALSE)</f>
        <v>Other</v>
      </c>
      <c r="E57" t="str">
        <f>VLOOKUP(B57,OLD!$A$2:$E$131,4,TRUE)</f>
        <v>Diversified</v>
      </c>
      <c r="F57" t="str">
        <f>VLOOKUP(B57,OLD!$A$2:$E$131,5,TRUE)</f>
        <v>Capital Allocation Template</v>
      </c>
      <c r="G57" s="8"/>
    </row>
    <row r="58" spans="1:7" ht="14.4" customHeight="1" x14ac:dyDescent="0.3">
      <c r="A58" t="s">
        <v>189</v>
      </c>
      <c r="B58" t="s">
        <v>37</v>
      </c>
      <c r="C58" t="str">
        <f>VLOOKUP(B58,OLD!$A$2:$C$131,2,)</f>
        <v>Miscellaneous</v>
      </c>
      <c r="D58" t="str">
        <f>VLOOKUP(B58,OLD!$A$2:$C$131,3,FALSE)</f>
        <v>Other</v>
      </c>
      <c r="E58" t="str">
        <f>VLOOKUP(B58,OLD!$A$2:$E$131,4,TRUE)</f>
        <v>Diversified</v>
      </c>
      <c r="F58" t="str">
        <f>VLOOKUP(B58,OLD!$A$2:$E$131,5,TRUE)</f>
        <v>Capital Allocation Template</v>
      </c>
      <c r="G58" s="8"/>
    </row>
    <row r="59" spans="1:7" ht="14.4" customHeight="1" x14ac:dyDescent="0.3">
      <c r="A59" t="s">
        <v>120</v>
      </c>
      <c r="B59" t="s">
        <v>37</v>
      </c>
      <c r="C59" t="str">
        <f>VLOOKUP(B59,OLD!$A$2:$C$131,2,)</f>
        <v>Miscellaneous</v>
      </c>
      <c r="D59" t="str">
        <f>VLOOKUP(B59,OLD!$A$2:$C$131,3,FALSE)</f>
        <v>Other</v>
      </c>
      <c r="E59" t="str">
        <f>VLOOKUP(B59,OLD!$A$2:$E$131,4,TRUE)</f>
        <v>Diversified</v>
      </c>
      <c r="F59" t="str">
        <f>VLOOKUP(B59,OLD!$A$2:$E$131,5,TRUE)</f>
        <v>Capital Allocation Template</v>
      </c>
      <c r="G59" s="8"/>
    </row>
    <row r="60" spans="1:7" ht="14.4" customHeight="1" x14ac:dyDescent="0.3">
      <c r="A60" t="s">
        <v>213</v>
      </c>
      <c r="B60" t="s">
        <v>37</v>
      </c>
      <c r="C60" t="str">
        <f>VLOOKUP(B60,OLD!$A$2:$C$131,2,)</f>
        <v>Miscellaneous</v>
      </c>
      <c r="D60" t="str">
        <f>VLOOKUP(B60,OLD!$A$2:$C$131,3,FALSE)</f>
        <v>Other</v>
      </c>
      <c r="E60" t="str">
        <f>VLOOKUP(B60,OLD!$A$2:$E$131,4,TRUE)</f>
        <v>Diversified</v>
      </c>
      <c r="F60" t="str">
        <f>VLOOKUP(B60,OLD!$A$2:$E$131,5,TRUE)</f>
        <v>Capital Allocation Template</v>
      </c>
      <c r="G60" s="8"/>
    </row>
    <row r="61" spans="1:7" ht="14.4" customHeight="1" x14ac:dyDescent="0.3">
      <c r="A61" t="s">
        <v>129</v>
      </c>
      <c r="B61" t="s">
        <v>37</v>
      </c>
      <c r="C61" t="str">
        <f>VLOOKUP(B61,OLD!$A$2:$C$131,2,)</f>
        <v>Miscellaneous</v>
      </c>
      <c r="D61" t="str">
        <f>VLOOKUP(B61,OLD!$A$2:$C$131,3,FALSE)</f>
        <v>Other</v>
      </c>
      <c r="E61" t="str">
        <f>VLOOKUP(B61,OLD!$A$2:$E$131,4,TRUE)</f>
        <v>Diversified</v>
      </c>
      <c r="F61" t="str">
        <f>VLOOKUP(B61,OLD!$A$2:$E$131,5,TRUE)</f>
        <v>Capital Allocation Template</v>
      </c>
      <c r="G61" s="8"/>
    </row>
    <row r="62" spans="1:7" ht="14.4" customHeight="1" x14ac:dyDescent="0.3">
      <c r="A62" t="s">
        <v>105</v>
      </c>
      <c r="B62" t="s">
        <v>106</v>
      </c>
      <c r="C62" t="str">
        <f>VLOOKUP(B62,OLD!$A$2:$C$131,2,)</f>
        <v>Commercial services</v>
      </c>
      <c r="D62" t="str">
        <f>VLOOKUP(B62,OLD!$A$2:$C$131,3,FALSE)</f>
        <v>Other</v>
      </c>
      <c r="E62" t="str">
        <f>VLOOKUP(B62,OLD!$A$2:$E$131,4,TRUE)</f>
        <v>Information Services</v>
      </c>
      <c r="F62" t="str">
        <f>VLOOKUP(B62,OLD!$A$2:$E$131,5,TRUE)</f>
        <v>Technology Template</v>
      </c>
      <c r="G62" s="8"/>
    </row>
    <row r="63" spans="1:7" ht="14.4" customHeight="1" x14ac:dyDescent="0.3">
      <c r="A63" t="s">
        <v>153</v>
      </c>
      <c r="B63" t="s">
        <v>16</v>
      </c>
      <c r="C63" t="str">
        <f>VLOOKUP(B63,OLD!$A$2:$C$131,2,)</f>
        <v>Consumer non-durables</v>
      </c>
      <c r="D63" t="str">
        <f>VLOOKUP(B63,OLD!$A$2:$C$131,3,FALSE)</f>
        <v>Consumption &amp; FMCG</v>
      </c>
      <c r="E63" t="str">
        <f>VLOOKUP(B63,OLD!$A$2:$E$131,4,TRUE)</f>
        <v>Brand Franchise</v>
      </c>
      <c r="F63" t="str">
        <f>VLOOKUP(B63,OLD!$A$2:$E$131,5,TRUE)</f>
        <v>Consumer Brand Template</v>
      </c>
      <c r="G63" s="8"/>
    </row>
    <row r="64" spans="1:7" ht="14.4" customHeight="1" x14ac:dyDescent="0.3">
      <c r="A64" t="s">
        <v>169</v>
      </c>
      <c r="B64" t="s">
        <v>37</v>
      </c>
      <c r="C64" t="str">
        <f>VLOOKUP(B64,OLD!$A$2:$C$131,2,)</f>
        <v>Miscellaneous</v>
      </c>
      <c r="D64" t="str">
        <f>VLOOKUP(B64,OLD!$A$2:$C$131,3,FALSE)</f>
        <v>Other</v>
      </c>
      <c r="E64" t="str">
        <f>VLOOKUP(B64,OLD!$A$2:$E$131,4,TRUE)</f>
        <v>Diversified</v>
      </c>
      <c r="F64" t="str">
        <f>VLOOKUP(B64,OLD!$A$2:$E$131,5,TRUE)</f>
        <v>Capital Allocation Template</v>
      </c>
      <c r="G64" s="8"/>
    </row>
    <row r="65" spans="1:7" ht="14.4" customHeight="1" x14ac:dyDescent="0.3">
      <c r="A65" t="s">
        <v>218</v>
      </c>
      <c r="B65" t="s">
        <v>37</v>
      </c>
      <c r="C65" t="str">
        <f>VLOOKUP(B65,OLD!$A$2:$C$131,2,)</f>
        <v>Miscellaneous</v>
      </c>
      <c r="D65" t="str">
        <f>VLOOKUP(B65,OLD!$A$2:$C$131,3,FALSE)</f>
        <v>Other</v>
      </c>
      <c r="E65" t="str">
        <f>VLOOKUP(B65,OLD!$A$2:$E$131,4,TRUE)</f>
        <v>Diversified</v>
      </c>
      <c r="F65" t="str">
        <f>VLOOKUP(B65,OLD!$A$2:$E$131,5,TRUE)</f>
        <v>Capital Allocation Template</v>
      </c>
      <c r="G65" s="8"/>
    </row>
    <row r="66" spans="1:7" ht="14.4" customHeight="1" x14ac:dyDescent="0.3">
      <c r="A66" t="s">
        <v>436</v>
      </c>
      <c r="B66" t="s">
        <v>107</v>
      </c>
      <c r="C66" t="str">
        <f>VLOOKUP(B66,OLD!$A$2:$C$131,2,)</f>
        <v>Consumer durables</v>
      </c>
      <c r="D66" t="str">
        <f>VLOOKUP(B66,OLD!$A$2:$C$131,3,FALSE)</f>
        <v>Consumption &amp; FMCG</v>
      </c>
      <c r="E66" t="str">
        <f>VLOOKUP(B66,OLD!$A$2:$E$131,4,TRUE)</f>
        <v>Consumer Brand</v>
      </c>
      <c r="F66" t="str">
        <f>VLOOKUP(B66,OLD!$A$2:$E$131,5,TRUE)</f>
        <v>Consumer Brand Template</v>
      </c>
      <c r="G66" s="8"/>
    </row>
    <row r="67" spans="1:7" ht="14.4" customHeight="1" x14ac:dyDescent="0.3">
      <c r="A67" t="s">
        <v>437</v>
      </c>
      <c r="B67" t="s">
        <v>98</v>
      </c>
      <c r="C67" t="str">
        <f>VLOOKUP(B67,OLD!$A$2:$C$131,2,)</f>
        <v>Energy minerals</v>
      </c>
      <c r="D67" t="str">
        <f>VLOOKUP(B67,OLD!$A$2:$C$131,3,FALSE)</f>
        <v>Oil &amp; Gas</v>
      </c>
      <c r="E67" t="str">
        <f>VLOOKUP(B67,OLD!$A$2:$E$131,4,TRUE)</f>
        <v>Resource Extraction</v>
      </c>
      <c r="F67" t="str">
        <f>VLOOKUP(B67,OLD!$A$2:$E$131,5,TRUE)</f>
        <v>Commodity Template</v>
      </c>
      <c r="G67" s="8"/>
    </row>
    <row r="68" spans="1:7" ht="14.4" customHeight="1" x14ac:dyDescent="0.3">
      <c r="A68" t="s">
        <v>204</v>
      </c>
      <c r="B68" t="s">
        <v>37</v>
      </c>
      <c r="C68" t="str">
        <f>VLOOKUP(B68,OLD!$A$2:$C$131,2,)</f>
        <v>Miscellaneous</v>
      </c>
      <c r="D68" t="str">
        <f>VLOOKUP(B68,OLD!$A$2:$C$131,3,FALSE)</f>
        <v>Other</v>
      </c>
      <c r="E68" t="str">
        <f>VLOOKUP(B68,OLD!$A$2:$E$131,4,TRUE)</f>
        <v>Diversified</v>
      </c>
      <c r="F68" t="str">
        <f>VLOOKUP(B68,OLD!$A$2:$E$131,5,TRUE)</f>
        <v>Capital Allocation Template</v>
      </c>
      <c r="G68" s="8"/>
    </row>
    <row r="69" spans="1:7" ht="14.4" customHeight="1" x14ac:dyDescent="0.3">
      <c r="A69" t="s">
        <v>111</v>
      </c>
      <c r="B69" t="s">
        <v>212</v>
      </c>
      <c r="C69" t="str">
        <f>VLOOKUP(B69,OLD!$A$2:$C$131,2,)</f>
        <v>Finance</v>
      </c>
      <c r="D69" t="str">
        <f>VLOOKUP(B69,OLD!$A$2:$C$131,3,FALSE)</f>
        <v>Finance</v>
      </c>
      <c r="E69" t="str">
        <f>VLOOKUP(B69,OLD!$A$2:$E$131,4,TRUE)</f>
        <v>Insurance Float</v>
      </c>
      <c r="F69" t="str">
        <f>VLOOKUP(B69,OLD!$A$2:$E$131,5,TRUE)</f>
        <v>Insurance Template</v>
      </c>
      <c r="G69" s="8"/>
    </row>
    <row r="70" spans="1:7" ht="14.4" customHeight="1" x14ac:dyDescent="0.3">
      <c r="A70" t="s">
        <v>211</v>
      </c>
      <c r="B70" t="s">
        <v>34</v>
      </c>
      <c r="C70" t="str">
        <f>VLOOKUP(B70,OLD!$A$2:$C$131,2,)</f>
        <v>Process industries</v>
      </c>
      <c r="D70" t="str">
        <f>VLOOKUP(B70,OLD!$A$2:$C$131,3,FALSE)</f>
        <v>Cement Chemical Metal</v>
      </c>
      <c r="E70" t="str">
        <f>VLOOKUP(B70,OLD!$A$2:$E$131,4,TRUE)</f>
        <v>Manufacturing</v>
      </c>
      <c r="F70" t="str">
        <f>VLOOKUP(B70,OLD!$A$2:$E$131,5,TRUE)</f>
        <v>Manufacturing Template</v>
      </c>
      <c r="G70" s="8"/>
    </row>
    <row r="71" spans="1:7" ht="14.4" customHeight="1" x14ac:dyDescent="0.3">
      <c r="A71" t="s">
        <v>223</v>
      </c>
      <c r="B71" t="s">
        <v>37</v>
      </c>
      <c r="C71" t="str">
        <f>VLOOKUP(B71,OLD!$A$2:$C$131,2,)</f>
        <v>Miscellaneous</v>
      </c>
      <c r="D71" t="str">
        <f>VLOOKUP(B71,OLD!$A$2:$C$131,3,FALSE)</f>
        <v>Other</v>
      </c>
      <c r="E71" t="str">
        <f>VLOOKUP(B71,OLD!$A$2:$E$131,4,TRUE)</f>
        <v>Diversified</v>
      </c>
      <c r="F71" t="str">
        <f>VLOOKUP(B71,OLD!$A$2:$E$131,5,TRUE)</f>
        <v>Capital Allocation Template</v>
      </c>
      <c r="G71" s="8"/>
    </row>
    <row r="72" spans="1:7" ht="14.4" customHeight="1" x14ac:dyDescent="0.3">
      <c r="A72" t="s">
        <v>102</v>
      </c>
      <c r="B72" t="s">
        <v>37</v>
      </c>
      <c r="C72" t="str">
        <f>VLOOKUP(B72,OLD!$A$2:$C$131,2,)</f>
        <v>Miscellaneous</v>
      </c>
      <c r="D72" t="str">
        <f>VLOOKUP(B72,OLD!$A$2:$C$131,3,FALSE)</f>
        <v>Other</v>
      </c>
      <c r="E72" t="str">
        <f>VLOOKUP(B72,OLD!$A$2:$E$131,4,TRUE)</f>
        <v>Diversified</v>
      </c>
      <c r="F72" t="str">
        <f>VLOOKUP(B72,OLD!$A$2:$E$131,5,TRUE)</f>
        <v>Capital Allocation Template</v>
      </c>
      <c r="G72" s="8"/>
    </row>
    <row r="73" spans="1:7" ht="14.4" customHeight="1" x14ac:dyDescent="0.3">
      <c r="A73" t="s">
        <v>148</v>
      </c>
      <c r="B73" t="s">
        <v>37</v>
      </c>
      <c r="C73" t="str">
        <f>VLOOKUP(B73,OLD!$A$2:$C$131,2,)</f>
        <v>Miscellaneous</v>
      </c>
      <c r="D73" t="str">
        <f>VLOOKUP(B73,OLD!$A$2:$C$131,3,FALSE)</f>
        <v>Other</v>
      </c>
      <c r="E73" t="str">
        <f>VLOOKUP(B73,OLD!$A$2:$E$131,4,TRUE)</f>
        <v>Diversified</v>
      </c>
      <c r="F73" t="str">
        <f>VLOOKUP(B73,OLD!$A$2:$E$131,5,TRUE)</f>
        <v>Capital Allocation Template</v>
      </c>
      <c r="G73" s="8"/>
    </row>
    <row r="74" spans="1:7" ht="14.4" customHeight="1" x14ac:dyDescent="0.3">
      <c r="A74" t="s">
        <v>87</v>
      </c>
      <c r="B74" t="s">
        <v>37</v>
      </c>
      <c r="C74" t="str">
        <f>VLOOKUP(B74,OLD!$A$2:$C$131,2,)</f>
        <v>Miscellaneous</v>
      </c>
      <c r="D74" t="str">
        <f>VLOOKUP(B74,OLD!$A$2:$C$131,3,FALSE)</f>
        <v>Other</v>
      </c>
      <c r="E74" t="str">
        <f>VLOOKUP(B74,OLD!$A$2:$E$131,4,TRUE)</f>
        <v>Diversified</v>
      </c>
      <c r="F74" t="str">
        <f>VLOOKUP(B74,OLD!$A$2:$E$131,5,TRUE)</f>
        <v>Capital Allocation Template</v>
      </c>
      <c r="G74" s="8"/>
    </row>
    <row r="75" spans="1:7" ht="14.4" customHeight="1" x14ac:dyDescent="0.3">
      <c r="A75" t="s">
        <v>5</v>
      </c>
      <c r="B75" t="s">
        <v>6</v>
      </c>
      <c r="C75" t="str">
        <f>VLOOKUP(B75,OLD!$A$2:$C$131,2,)</f>
        <v>Health services</v>
      </c>
      <c r="D75" t="str">
        <f>VLOOKUP(B75,OLD!$A$2:$C$131,3,FALSE)</f>
        <v>Healthcare</v>
      </c>
      <c r="E75" t="str">
        <f>VLOOKUP(B75,OLD!$A$2:$E$131,4,TRUE)</f>
        <v>Healthcare Services</v>
      </c>
      <c r="F75" t="str">
        <f>VLOOKUP(B75,OLD!$A$2:$E$131,5,TRUE)</f>
        <v>Specialty Manufacturing Template</v>
      </c>
      <c r="G75" s="8"/>
    </row>
    <row r="76" spans="1:7" ht="14.4" customHeight="1" x14ac:dyDescent="0.3">
      <c r="A76" t="s">
        <v>21</v>
      </c>
      <c r="B76" t="s">
        <v>22</v>
      </c>
      <c r="C76" t="str">
        <f>VLOOKUP(B76,OLD!$A$2:$C$131,2,)</f>
        <v>Producer manufacturing</v>
      </c>
      <c r="D76" t="str">
        <f>VLOOKUP(B76,OLD!$A$2:$C$131,3,FALSE)</f>
        <v>Other</v>
      </c>
      <c r="E76" t="str">
        <f>VLOOKUP(B76,OLD!$A$2:$E$131,4,TRUE)</f>
        <v>Industrial Manufacturing</v>
      </c>
      <c r="F76" t="str">
        <f>VLOOKUP(B76,OLD!$A$2:$E$131,5,TRUE)</f>
        <v>Infrastructure Template</v>
      </c>
      <c r="G76" s="8"/>
    </row>
    <row r="77" spans="1:7" ht="14.4" customHeight="1" x14ac:dyDescent="0.3">
      <c r="A77" t="s">
        <v>59</v>
      </c>
      <c r="B77" t="s">
        <v>37</v>
      </c>
      <c r="C77" t="str">
        <f>VLOOKUP(B77,OLD!$A$2:$C$131,2,)</f>
        <v>Miscellaneous</v>
      </c>
      <c r="D77" t="str">
        <f>VLOOKUP(B77,OLD!$A$2:$C$131,3,FALSE)</f>
        <v>Other</v>
      </c>
      <c r="E77" t="str">
        <f>VLOOKUP(B77,OLD!$A$2:$E$131,4,TRUE)</f>
        <v>Diversified</v>
      </c>
      <c r="F77" t="str">
        <f>VLOOKUP(B77,OLD!$A$2:$E$131,5,TRUE)</f>
        <v>Capital Allocation Template</v>
      </c>
      <c r="G77" s="8"/>
    </row>
    <row r="78" spans="1:7" ht="14.4" customHeight="1" x14ac:dyDescent="0.3">
      <c r="A78" t="s">
        <v>56</v>
      </c>
      <c r="B78" t="s">
        <v>57</v>
      </c>
      <c r="C78" t="str">
        <f>VLOOKUP(B78,OLD!$A$2:$C$131,2,)</f>
        <v>Health services</v>
      </c>
      <c r="D78" t="str">
        <f>VLOOKUP(B78,OLD!$A$2:$C$131,3,FALSE)</f>
        <v>Healthcare</v>
      </c>
      <c r="E78" t="str">
        <f>VLOOKUP(B78,OLD!$A$2:$E$131,4,TRUE)</f>
        <v>Capacity Utilization</v>
      </c>
      <c r="F78" t="str">
        <f>VLOOKUP(B78,OLD!$A$2:$E$131,5,TRUE)</f>
        <v>Specialty Manufacturing Template</v>
      </c>
      <c r="G78" s="8"/>
    </row>
    <row r="79" spans="1:7" ht="14.4" customHeight="1" x14ac:dyDescent="0.3">
      <c r="A79" t="s">
        <v>95</v>
      </c>
      <c r="B79" t="s">
        <v>96</v>
      </c>
      <c r="C79" t="str">
        <f>VLOOKUP(B79,OLD!$A$2:$C$131,2,)</f>
        <v>Consumer services</v>
      </c>
      <c r="D79" t="str">
        <f>VLOOKUP(B79,OLD!$A$2:$C$131,3,FALSE)</f>
        <v>Other</v>
      </c>
      <c r="E79" t="str">
        <f>VLOOKUP(B79,OLD!$A$2:$E$131,4,TRUE)</f>
        <v>Consumer Services</v>
      </c>
      <c r="F79" t="str">
        <f>VLOOKUP(B79,OLD!$A$2:$E$131,5,TRUE)</f>
        <v>Asset Utilization Template</v>
      </c>
      <c r="G79" s="8"/>
    </row>
    <row r="80" spans="1:7" ht="14.4" customHeight="1" x14ac:dyDescent="0.3">
      <c r="A80" t="s">
        <v>124</v>
      </c>
      <c r="B80" t="s">
        <v>37</v>
      </c>
      <c r="C80" t="str">
        <f>VLOOKUP(B80,OLD!$A$2:$C$131,2,)</f>
        <v>Miscellaneous</v>
      </c>
      <c r="D80" t="str">
        <f>VLOOKUP(B80,OLD!$A$2:$C$131,3,FALSE)</f>
        <v>Other</v>
      </c>
      <c r="E80" t="str">
        <f>VLOOKUP(B80,OLD!$A$2:$E$131,4,TRUE)</f>
        <v>Diversified</v>
      </c>
      <c r="F80" t="str">
        <f>VLOOKUP(B80,OLD!$A$2:$E$131,5,TRUE)</f>
        <v>Capital Allocation Template</v>
      </c>
      <c r="G80" s="8"/>
    </row>
    <row r="81" spans="1:7" ht="14.4" customHeight="1" x14ac:dyDescent="0.3">
      <c r="A81" t="s">
        <v>125</v>
      </c>
      <c r="B81" t="s">
        <v>37</v>
      </c>
      <c r="C81" t="str">
        <f>VLOOKUP(B81,OLD!$A$2:$C$131,2,)</f>
        <v>Miscellaneous</v>
      </c>
      <c r="D81" t="str">
        <f>VLOOKUP(B81,OLD!$A$2:$C$131,3,FALSE)</f>
        <v>Other</v>
      </c>
      <c r="E81" t="str">
        <f>VLOOKUP(B81,OLD!$A$2:$E$131,4,TRUE)</f>
        <v>Diversified</v>
      </c>
      <c r="F81" t="str">
        <f>VLOOKUP(B81,OLD!$A$2:$E$131,5,TRUE)</f>
        <v>Capital Allocation Template</v>
      </c>
      <c r="G81" s="8"/>
    </row>
    <row r="82" spans="1:7" ht="14.4" customHeight="1" x14ac:dyDescent="0.3">
      <c r="A82" t="s">
        <v>438</v>
      </c>
      <c r="B82" t="s">
        <v>37</v>
      </c>
      <c r="C82" t="str">
        <f>VLOOKUP(B82,OLD!$A$2:$C$131,2,)</f>
        <v>Miscellaneous</v>
      </c>
      <c r="D82" t="str">
        <f>VLOOKUP(B82,OLD!$A$2:$C$131,3,FALSE)</f>
        <v>Other</v>
      </c>
      <c r="E82" t="str">
        <f>VLOOKUP(B82,OLD!$A$2:$E$131,4,TRUE)</f>
        <v>Diversified</v>
      </c>
      <c r="F82" t="str">
        <f>VLOOKUP(B82,OLD!$A$2:$E$131,5,TRUE)</f>
        <v>Capital Allocation Template</v>
      </c>
      <c r="G82" s="8"/>
    </row>
    <row r="83" spans="1:7" ht="14.4" customHeight="1" x14ac:dyDescent="0.3">
      <c r="A83" t="s">
        <v>38</v>
      </c>
      <c r="B83" t="s">
        <v>36</v>
      </c>
      <c r="C83" t="str">
        <f>VLOOKUP(B83,OLD!$A$2:$C$131,2,)</f>
        <v>Finance</v>
      </c>
      <c r="D83" t="str">
        <f>VLOOKUP(B83,OLD!$A$2:$C$131,3,FALSE)</f>
        <v>Finance</v>
      </c>
      <c r="E83" t="str">
        <f>VLOOKUP(B83,OLD!$A$2:$E$131,4,TRUE)</f>
        <v>Leveraged Lending</v>
      </c>
      <c r="F83" t="str">
        <f>VLOOKUP(B83,OLD!$A$2:$E$131,5,TRUE)</f>
        <v>Lending Template</v>
      </c>
      <c r="G83" s="8"/>
    </row>
    <row r="84" spans="1:7" ht="14.4" customHeight="1" x14ac:dyDescent="0.3">
      <c r="A84" t="s">
        <v>172</v>
      </c>
      <c r="B84" t="s">
        <v>98</v>
      </c>
      <c r="C84" t="str">
        <f>VLOOKUP(B84,OLD!$A$2:$C$131,2,)</f>
        <v>Energy minerals</v>
      </c>
      <c r="D84" t="str">
        <f>VLOOKUP(B84,OLD!$A$2:$C$131,3,FALSE)</f>
        <v>Oil &amp; Gas</v>
      </c>
      <c r="E84" t="str">
        <f>VLOOKUP(B84,OLD!$A$2:$E$131,4,TRUE)</f>
        <v>Resource Extraction</v>
      </c>
      <c r="F84" t="str">
        <f>VLOOKUP(B84,OLD!$A$2:$E$131,5,TRUE)</f>
        <v>Commodity Template</v>
      </c>
      <c r="G84" s="8"/>
    </row>
    <row r="85" spans="1:7" ht="14.4" customHeight="1" x14ac:dyDescent="0.3">
      <c r="A85" t="s">
        <v>0</v>
      </c>
      <c r="B85" t="s">
        <v>1</v>
      </c>
      <c r="C85" t="str">
        <f>VLOOKUP(B85,OLD!$A$2:$C$131,2,)</f>
        <v>Non-energy minerals</v>
      </c>
      <c r="D85" t="str">
        <f>VLOOKUP(B85,OLD!$A$2:$C$131,3,FALSE)</f>
        <v>Cement Chemical Metal</v>
      </c>
      <c r="E85" t="str">
        <f>VLOOKUP(B85,OLD!$A$2:$E$131,4,TRUE)</f>
        <v>Commodity Producer</v>
      </c>
      <c r="F85" t="str">
        <f>VLOOKUP(B85,OLD!$A$2:$E$131,5,TRUE)</f>
        <v>Commodity Template</v>
      </c>
      <c r="G85" s="8"/>
    </row>
    <row r="86" spans="1:7" ht="14.4" customHeight="1" x14ac:dyDescent="0.3">
      <c r="A86" t="s">
        <v>52</v>
      </c>
      <c r="B86" t="s">
        <v>53</v>
      </c>
      <c r="C86" t="str">
        <f>VLOOKUP(B86,OLD!$A$2:$C$131,2,)</f>
        <v>Process industries</v>
      </c>
      <c r="D86" t="str">
        <f>VLOOKUP(B86,OLD!$A$2:$C$131,3,FALSE)</f>
        <v>Other</v>
      </c>
      <c r="E86" t="str">
        <f>VLOOKUP(B86,OLD!$A$2:$E$131,4,TRUE)</f>
        <v>Industrial Manufacturing</v>
      </c>
      <c r="F86" t="str">
        <f>VLOOKUP(B86,OLD!$A$2:$E$131,5,TRUE)</f>
        <v>Infrastructure Template</v>
      </c>
      <c r="G86" s="8"/>
    </row>
    <row r="87" spans="1:7" ht="14.4" customHeight="1" x14ac:dyDescent="0.3">
      <c r="A87" t="s">
        <v>224</v>
      </c>
      <c r="B87" t="s">
        <v>225</v>
      </c>
      <c r="C87" t="str">
        <f>VLOOKUP(B87,OLD!$A$2:$C$131,2,)</f>
        <v>Finance</v>
      </c>
      <c r="D87" t="str">
        <f>VLOOKUP(B87,OLD!$A$2:$C$131,3,FALSE)</f>
        <v>Finance</v>
      </c>
      <c r="E87" t="str">
        <f>VLOOKUP(B87,OLD!$A$2:$E$131,4,TRUE)</f>
        <v>Fee Based Financial</v>
      </c>
      <c r="F87" t="str">
        <f>VLOOKUP(B87,OLD!$A$2:$E$131,5,TRUE)</f>
        <v>Asset Management Template</v>
      </c>
      <c r="G87" s="8"/>
    </row>
    <row r="88" spans="1:7" ht="14.4" customHeight="1" x14ac:dyDescent="0.3">
      <c r="A88" t="s">
        <v>82</v>
      </c>
      <c r="B88" t="s">
        <v>83</v>
      </c>
      <c r="C88" t="str">
        <f>VLOOKUP(B88,OLD!$A$2:$C$131,2,)</f>
        <v>Energy minerals</v>
      </c>
      <c r="D88" t="str">
        <f>VLOOKUP(B88,OLD!$A$2:$C$131,3,FALSE)</f>
        <v>Oil &amp; Gas</v>
      </c>
      <c r="E88" t="str">
        <f>VLOOKUP(B88,OLD!$A$2:$E$131,4,TRUE)</f>
        <v>Processing</v>
      </c>
      <c r="F88" t="str">
        <f>VLOOKUP(B88,OLD!$A$2:$E$131,5,TRUE)</f>
        <v>Commodity Template</v>
      </c>
      <c r="G88" s="8"/>
    </row>
    <row r="89" spans="1:7" ht="14.4" customHeight="1" x14ac:dyDescent="0.3">
      <c r="A89" t="s">
        <v>194</v>
      </c>
      <c r="B89" t="s">
        <v>18</v>
      </c>
      <c r="C89" t="str">
        <f>VLOOKUP(B89,OLD!$A$2:$C$131,2,)</f>
        <v>Retail trade</v>
      </c>
      <c r="D89" t="str">
        <f>VLOOKUP(B89,OLD!$A$2:$C$131,3,FALSE)</f>
        <v>Other</v>
      </c>
      <c r="E89" t="str">
        <f>VLOOKUP(B89,OLD!$A$2:$E$131,4,TRUE)</f>
        <v>Store Economics</v>
      </c>
      <c r="F89" t="str">
        <f>VLOOKUP(B89,OLD!$A$2:$E$131,5,TRUE)</f>
        <v>Retail Template</v>
      </c>
      <c r="G89" s="8"/>
    </row>
    <row r="90" spans="1:7" ht="14.4" customHeight="1" x14ac:dyDescent="0.3">
      <c r="A90" t="s">
        <v>13</v>
      </c>
      <c r="B90" t="s">
        <v>14</v>
      </c>
      <c r="C90" t="str">
        <f>VLOOKUP(B90,OLD!$A$2:$C$131,2,)</f>
        <v>Finance</v>
      </c>
      <c r="D90" t="str">
        <f>VLOOKUP(B90,OLD!$A$2:$C$131,3,FALSE)</f>
        <v>Finance</v>
      </c>
      <c r="E90" t="str">
        <f>VLOOKUP(B90,OLD!$A$2:$E$131,4,TRUE)</f>
        <v>Capital Allocation</v>
      </c>
      <c r="F90" t="str">
        <f>VLOOKUP(B90,OLD!$A$2:$E$131,5,TRUE)</f>
        <v>Capital Allocation Template</v>
      </c>
      <c r="G90" s="8"/>
    </row>
    <row r="91" spans="1:7" ht="14.4" customHeight="1" x14ac:dyDescent="0.3">
      <c r="A91" t="s">
        <v>132</v>
      </c>
      <c r="B91" t="s">
        <v>32</v>
      </c>
      <c r="C91" t="str">
        <f>VLOOKUP(B91,OLD!$A$2:$C$131,2,)</f>
        <v>Non-energy minerals</v>
      </c>
      <c r="D91" t="str">
        <f>VLOOKUP(B91,OLD!$A$2:$C$131,3,FALSE)</f>
        <v>Cement Chemical Metal</v>
      </c>
      <c r="E91" t="str">
        <f>VLOOKUP(B91,OLD!$A$2:$E$131,4,TRUE)</f>
        <v>Commodity Producer</v>
      </c>
      <c r="F91" t="str">
        <f>VLOOKUP(B91,OLD!$A$2:$E$131,5,TRUE)</f>
        <v>Commodity Template</v>
      </c>
      <c r="G91" s="8"/>
    </row>
    <row r="92" spans="1:7" ht="14.4" customHeight="1" x14ac:dyDescent="0.3">
      <c r="A92" t="s">
        <v>31</v>
      </c>
      <c r="B92" t="s">
        <v>32</v>
      </c>
      <c r="C92" t="str">
        <f>VLOOKUP(B92,OLD!$A$2:$C$131,2,)</f>
        <v>Non-energy minerals</v>
      </c>
      <c r="D92" t="str">
        <f>VLOOKUP(B92,OLD!$A$2:$C$131,3,FALSE)</f>
        <v>Cement Chemical Metal</v>
      </c>
      <c r="E92" t="str">
        <f>VLOOKUP(B92,OLD!$A$2:$E$131,4,TRUE)</f>
        <v>Commodity Producer</v>
      </c>
      <c r="F92" t="str">
        <f>VLOOKUP(B92,OLD!$A$2:$E$131,5,TRUE)</f>
        <v>Commodity Template</v>
      </c>
      <c r="G92" s="8"/>
    </row>
    <row r="93" spans="1:7" ht="14.4" customHeight="1" x14ac:dyDescent="0.3">
      <c r="A93" t="s">
        <v>9</v>
      </c>
      <c r="B93" t="s">
        <v>10</v>
      </c>
      <c r="C93" t="str">
        <f>VLOOKUP(B93,OLD!$A$2:$C$131,2,)</f>
        <v>Technology services</v>
      </c>
      <c r="D93" t="str">
        <f>VLOOKUP(B93,OLD!$A$2:$C$131,3,FALSE)</f>
        <v>IT</v>
      </c>
      <c r="E93" t="str">
        <f>VLOOKUP(B93,OLD!$A$2:$E$131,4,TRUE)</f>
        <v>Human Capital Services</v>
      </c>
      <c r="F93" t="str">
        <f>VLOOKUP(B93,OLD!$A$2:$E$131,5,TRUE)</f>
        <v>Technology Template</v>
      </c>
      <c r="G93" s="8"/>
    </row>
    <row r="94" spans="1:7" ht="14.4" customHeight="1" x14ac:dyDescent="0.3">
      <c r="A94" t="s">
        <v>108</v>
      </c>
      <c r="B94" t="s">
        <v>37</v>
      </c>
      <c r="C94" t="str">
        <f>VLOOKUP(B94,OLD!$A$2:$C$131,2,)</f>
        <v>Miscellaneous</v>
      </c>
      <c r="D94" t="str">
        <f>VLOOKUP(B94,OLD!$A$2:$C$131,3,FALSE)</f>
        <v>Other</v>
      </c>
      <c r="E94" t="str">
        <f>VLOOKUP(B94,OLD!$A$2:$E$131,4,TRUE)</f>
        <v>Diversified</v>
      </c>
      <c r="F94" t="str">
        <f>VLOOKUP(B94,OLD!$A$2:$E$131,5,TRUE)</f>
        <v>Capital Allocation Template</v>
      </c>
      <c r="G94" s="8"/>
    </row>
    <row r="95" spans="1:7" ht="14.4" customHeight="1" x14ac:dyDescent="0.3">
      <c r="A95" t="s">
        <v>117</v>
      </c>
      <c r="B95" t="s">
        <v>118</v>
      </c>
      <c r="C95" t="str">
        <f>VLOOKUP(B95,OLD!$A$2:$C$131,2,)</f>
        <v>Consumer non-durables</v>
      </c>
      <c r="D95" t="str">
        <f>VLOOKUP(B95,OLD!$A$2:$C$131,3,FALSE)</f>
        <v>Consumption &amp; FMCG</v>
      </c>
      <c r="E95" t="str">
        <f>VLOOKUP(B95,OLD!$A$2:$E$131,4,TRUE)</f>
        <v>Brand Franchise</v>
      </c>
      <c r="F95" t="str">
        <f>VLOOKUP(B95,OLD!$A$2:$E$131,5,TRUE)</f>
        <v>Consumer Brand Template</v>
      </c>
      <c r="G95" s="8"/>
    </row>
    <row r="96" spans="1:7" ht="14.4" customHeight="1" x14ac:dyDescent="0.3">
      <c r="A96" t="s">
        <v>143</v>
      </c>
      <c r="B96" t="s">
        <v>37</v>
      </c>
      <c r="C96" t="str">
        <f>VLOOKUP(B96,OLD!$A$2:$C$131,2,)</f>
        <v>Miscellaneous</v>
      </c>
      <c r="D96" t="str">
        <f>VLOOKUP(B96,OLD!$A$2:$C$131,3,FALSE)</f>
        <v>Other</v>
      </c>
      <c r="E96" t="str">
        <f>VLOOKUP(B96,OLD!$A$2:$E$131,4,TRUE)</f>
        <v>Diversified</v>
      </c>
      <c r="F96" t="str">
        <f>VLOOKUP(B96,OLD!$A$2:$E$131,5,TRUE)</f>
        <v>Capital Allocation Template</v>
      </c>
      <c r="G96" s="8"/>
    </row>
    <row r="97" spans="1:7" ht="14.4" customHeight="1" x14ac:dyDescent="0.3">
      <c r="A97" t="s">
        <v>183</v>
      </c>
      <c r="B97" t="s">
        <v>184</v>
      </c>
      <c r="C97" t="str">
        <f>VLOOKUP(B97,OLD!$A$2:$C$131,2,)</f>
        <v>Finance</v>
      </c>
      <c r="D97" t="str">
        <f>VLOOKUP(B97,OLD!$A$2:$C$131,3,FALSE)</f>
        <v>Finance</v>
      </c>
      <c r="E97" t="str">
        <f>VLOOKUP(B97,OLD!$A$2:$E$131,4,TRUE)</f>
        <v>Insurance Float</v>
      </c>
      <c r="F97" t="str">
        <f>VLOOKUP(B97,OLD!$A$2:$E$131,5,TRUE)</f>
        <v>Insurance Template</v>
      </c>
      <c r="G97" s="8"/>
    </row>
    <row r="98" spans="1:7" ht="14.4" customHeight="1" x14ac:dyDescent="0.3">
      <c r="A98" t="s">
        <v>73</v>
      </c>
      <c r="B98" t="s">
        <v>37</v>
      </c>
      <c r="C98" t="str">
        <f>VLOOKUP(B98,OLD!$A$2:$C$131,2,)</f>
        <v>Miscellaneous</v>
      </c>
      <c r="D98" t="str">
        <f>VLOOKUP(B98,OLD!$A$2:$C$131,3,FALSE)</f>
        <v>Other</v>
      </c>
      <c r="E98" t="str">
        <f>VLOOKUP(B98,OLD!$A$2:$E$131,4,TRUE)</f>
        <v>Diversified</v>
      </c>
      <c r="F98" t="str">
        <f>VLOOKUP(B98,OLD!$A$2:$E$131,5,TRUE)</f>
        <v>Capital Allocation Template</v>
      </c>
      <c r="G98" s="8"/>
    </row>
    <row r="99" spans="1:7" ht="14.4" customHeight="1" x14ac:dyDescent="0.3">
      <c r="A99" t="s">
        <v>439</v>
      </c>
      <c r="B99" t="s">
        <v>37</v>
      </c>
      <c r="C99" t="str">
        <f>VLOOKUP(B99,OLD!$A$2:$C$131,2,)</f>
        <v>Miscellaneous</v>
      </c>
      <c r="D99" t="str">
        <f>VLOOKUP(B99,OLD!$A$2:$C$131,3,FALSE)</f>
        <v>Other</v>
      </c>
      <c r="E99" t="str">
        <f>VLOOKUP(B99,OLD!$A$2:$E$131,4,TRUE)</f>
        <v>Diversified</v>
      </c>
      <c r="F99" t="str">
        <f>VLOOKUP(B99,OLD!$A$2:$E$131,5,TRUE)</f>
        <v>Capital Allocation Template</v>
      </c>
      <c r="G99" s="8"/>
    </row>
    <row r="100" spans="1:7" ht="14.4" customHeight="1" x14ac:dyDescent="0.3">
      <c r="A100" t="s">
        <v>142</v>
      </c>
      <c r="B100" t="s">
        <v>37</v>
      </c>
      <c r="C100" t="str">
        <f>VLOOKUP(B100,OLD!$A$2:$C$131,2,)</f>
        <v>Miscellaneous</v>
      </c>
      <c r="D100" t="str">
        <f>VLOOKUP(B100,OLD!$A$2:$C$131,3,FALSE)</f>
        <v>Other</v>
      </c>
      <c r="E100" t="str">
        <f>VLOOKUP(B100,OLD!$A$2:$E$131,4,TRUE)</f>
        <v>Diversified</v>
      </c>
      <c r="F100" t="str">
        <f>VLOOKUP(B100,OLD!$A$2:$E$131,5,TRUE)</f>
        <v>Capital Allocation Template</v>
      </c>
      <c r="G100" s="8"/>
    </row>
    <row r="101" spans="1:7" ht="14.4" customHeight="1" x14ac:dyDescent="0.3">
      <c r="A101" t="s">
        <v>202</v>
      </c>
      <c r="B101" t="s">
        <v>16</v>
      </c>
      <c r="C101" t="str">
        <f>VLOOKUP(B101,OLD!$A$2:$C$131,2,)</f>
        <v>Consumer non-durables</v>
      </c>
      <c r="D101" t="str">
        <f>VLOOKUP(B101,OLD!$A$2:$C$131,3,FALSE)</f>
        <v>Consumption &amp; FMCG</v>
      </c>
      <c r="E101" t="str">
        <f>VLOOKUP(B101,OLD!$A$2:$E$131,4,TRUE)</f>
        <v>Brand Franchise</v>
      </c>
      <c r="F101" t="str">
        <f>VLOOKUP(B101,OLD!$A$2:$E$131,5,TRUE)</f>
        <v>Consumer Brand Template</v>
      </c>
      <c r="G101" s="8"/>
    </row>
    <row r="102" spans="1:7" ht="14.4" customHeight="1" x14ac:dyDescent="0.3">
      <c r="A102" t="s">
        <v>166</v>
      </c>
      <c r="B102" t="s">
        <v>167</v>
      </c>
      <c r="C102" t="str">
        <f>VLOOKUP(B102,OLD!$A$2:$C$131,2,)</f>
        <v>Consumer services</v>
      </c>
      <c r="D102" t="str">
        <f>VLOOKUP(B102,OLD!$A$2:$C$131,3,FALSE)</f>
        <v>Other</v>
      </c>
      <c r="E102" t="str">
        <f>VLOOKUP(B102,OLD!$A$2:$E$131,4,TRUE)</f>
        <v>Capital Allocation</v>
      </c>
      <c r="F102" t="str">
        <f>VLOOKUP(B102,OLD!$A$2:$E$131,5,TRUE)</f>
        <v>Capital Allocation Template</v>
      </c>
      <c r="G102" s="8"/>
    </row>
    <row r="103" spans="1:7" ht="14.4" customHeight="1" x14ac:dyDescent="0.3">
      <c r="A103" t="s">
        <v>127</v>
      </c>
      <c r="B103" t="s">
        <v>128</v>
      </c>
      <c r="C103" t="str">
        <f>VLOOKUP(B103,OLD!$A$2:$C$131,2,)</f>
        <v>Distribution services</v>
      </c>
      <c r="D103" t="str">
        <f>VLOOKUP(B103,OLD!$A$2:$C$131,3,FALSE)</f>
        <v>Other</v>
      </c>
      <c r="E103" t="str">
        <f>VLOOKUP(B103,OLD!$A$2:$E$131,4,TRUE)</f>
        <v>Distribution</v>
      </c>
      <c r="F103" t="str">
        <f>VLOOKUP(B103,OLD!$A$2:$E$131,5,TRUE)</f>
        <v>Retail Template</v>
      </c>
      <c r="G103" s="8"/>
    </row>
    <row r="104" spans="1:7" ht="14.4" customHeight="1" x14ac:dyDescent="0.3">
      <c r="A104" t="s">
        <v>193</v>
      </c>
      <c r="B104" t="s">
        <v>37</v>
      </c>
      <c r="C104" t="str">
        <f>VLOOKUP(B104,OLD!$A$2:$C$131,2,)</f>
        <v>Miscellaneous</v>
      </c>
      <c r="D104" t="str">
        <f>VLOOKUP(B104,OLD!$A$2:$C$131,3,FALSE)</f>
        <v>Other</v>
      </c>
      <c r="E104" t="str">
        <f>VLOOKUP(B104,OLD!$A$2:$E$131,4,TRUE)</f>
        <v>Diversified</v>
      </c>
      <c r="F104" t="str">
        <f>VLOOKUP(B104,OLD!$A$2:$E$131,5,TRUE)</f>
        <v>Capital Allocation Template</v>
      </c>
      <c r="G104" s="8"/>
    </row>
    <row r="105" spans="1:7" ht="14.4" customHeight="1" x14ac:dyDescent="0.3">
      <c r="A105" t="s">
        <v>228</v>
      </c>
      <c r="B105" t="s">
        <v>37</v>
      </c>
      <c r="C105" t="str">
        <f>VLOOKUP(B105,OLD!$A$2:$C$131,2,)</f>
        <v>Miscellaneous</v>
      </c>
      <c r="D105" t="str">
        <f>VLOOKUP(B105,OLD!$A$2:$C$131,3,FALSE)</f>
        <v>Other</v>
      </c>
      <c r="E105" t="str">
        <f>VLOOKUP(B105,OLD!$A$2:$E$131,4,TRUE)</f>
        <v>Diversified</v>
      </c>
      <c r="F105" t="str">
        <f>VLOOKUP(B105,OLD!$A$2:$E$131,5,TRUE)</f>
        <v>Capital Allocation Template</v>
      </c>
      <c r="G105" s="8"/>
    </row>
    <row r="106" spans="1:7" ht="14.4" customHeight="1" x14ac:dyDescent="0.3">
      <c r="A106" t="s">
        <v>35</v>
      </c>
      <c r="B106" t="s">
        <v>36</v>
      </c>
      <c r="C106" t="str">
        <f>VLOOKUP(B106,OLD!$A$2:$C$131,2,)</f>
        <v>Finance</v>
      </c>
      <c r="D106" t="str">
        <f>VLOOKUP(B106,OLD!$A$2:$C$131,3,FALSE)</f>
        <v>Finance</v>
      </c>
      <c r="E106" t="str">
        <f>VLOOKUP(B106,OLD!$A$2:$E$131,4,TRUE)</f>
        <v>Leveraged Lending</v>
      </c>
      <c r="F106" t="str">
        <f>VLOOKUP(B106,OLD!$A$2:$E$131,5,TRUE)</f>
        <v>Lending Template</v>
      </c>
      <c r="G106" s="8"/>
    </row>
    <row r="107" spans="1:7" ht="14.4" customHeight="1" x14ac:dyDescent="0.3">
      <c r="A107" t="s">
        <v>43</v>
      </c>
      <c r="B107" t="s">
        <v>44</v>
      </c>
      <c r="C107" t="str">
        <f>VLOOKUP(B107,OLD!$A$2:$C$131,2,)</f>
        <v>Industrial services</v>
      </c>
      <c r="D107" t="str">
        <f>VLOOKUP(B107,OLD!$A$2:$C$131,3,FALSE)</f>
        <v>Oil &amp; Gas</v>
      </c>
      <c r="E107" t="str">
        <f>VLOOKUP(B107,OLD!$A$2:$E$131,4,TRUE)</f>
        <v>Oilfield Services</v>
      </c>
      <c r="F107" t="str">
        <f>VLOOKUP(B107,OLD!$A$2:$E$131,5,TRUE)</f>
        <v>Commodity Template</v>
      </c>
      <c r="G107" s="8"/>
    </row>
    <row r="108" spans="1:7" ht="14.4" customHeight="1" x14ac:dyDescent="0.3">
      <c r="A108" t="s">
        <v>150</v>
      </c>
      <c r="B108" t="s">
        <v>98</v>
      </c>
      <c r="C108" t="str">
        <f>VLOOKUP(B108,OLD!$A$2:$C$131,2,)</f>
        <v>Energy minerals</v>
      </c>
      <c r="D108" t="str">
        <f>VLOOKUP(B108,OLD!$A$2:$C$131,3,FALSE)</f>
        <v>Oil &amp; Gas</v>
      </c>
      <c r="E108" t="str">
        <f>VLOOKUP(B108,OLD!$A$2:$E$131,4,TRUE)</f>
        <v>Resource Extraction</v>
      </c>
      <c r="F108" t="str">
        <f>VLOOKUP(B108,OLD!$A$2:$E$131,5,TRUE)</f>
        <v>Commodity Template</v>
      </c>
      <c r="G108" s="8"/>
    </row>
    <row r="109" spans="1:7" ht="14.4" customHeight="1" x14ac:dyDescent="0.3">
      <c r="A109" t="s">
        <v>135</v>
      </c>
      <c r="B109" t="s">
        <v>98</v>
      </c>
      <c r="C109" t="str">
        <f>VLOOKUP(B109,OLD!$A$2:$C$131,2,)</f>
        <v>Energy minerals</v>
      </c>
      <c r="D109" t="str">
        <f>VLOOKUP(B109,OLD!$A$2:$C$131,3,FALSE)</f>
        <v>Oil &amp; Gas</v>
      </c>
      <c r="E109" t="str">
        <f>VLOOKUP(B109,OLD!$A$2:$E$131,4,TRUE)</f>
        <v>Resource Extraction</v>
      </c>
      <c r="F109" t="str">
        <f>VLOOKUP(B109,OLD!$A$2:$E$131,5,TRUE)</f>
        <v>Commodity Template</v>
      </c>
      <c r="G109" s="8"/>
    </row>
    <row r="110" spans="1:7" ht="14.4" customHeight="1" x14ac:dyDescent="0.3">
      <c r="A110" t="s">
        <v>99</v>
      </c>
      <c r="B110" t="s">
        <v>98</v>
      </c>
      <c r="C110" t="str">
        <f>VLOOKUP(B110,OLD!$A$2:$C$131,2,)</f>
        <v>Energy minerals</v>
      </c>
      <c r="D110" t="str">
        <f>VLOOKUP(B110,OLD!$A$2:$C$131,3,FALSE)</f>
        <v>Oil &amp; Gas</v>
      </c>
      <c r="E110" t="str">
        <f>VLOOKUP(B110,OLD!$A$2:$E$131,4,TRUE)</f>
        <v>Resource Extraction</v>
      </c>
      <c r="F110" t="str">
        <f>VLOOKUP(B110,OLD!$A$2:$E$131,5,TRUE)</f>
        <v>Commodity Template</v>
      </c>
      <c r="G110" s="8"/>
    </row>
    <row r="111" spans="1:7" ht="14.4" customHeight="1" x14ac:dyDescent="0.3">
      <c r="A111" t="s">
        <v>29</v>
      </c>
      <c r="B111" t="s">
        <v>30</v>
      </c>
      <c r="C111" t="str">
        <f>VLOOKUP(B111,OLD!$A$2:$C$131,2,)</f>
        <v>Process industries</v>
      </c>
      <c r="D111" t="str">
        <f>VLOOKUP(B111,OLD!$A$2:$C$131,3,FALSE)</f>
        <v>Other</v>
      </c>
      <c r="E111" t="str">
        <f>VLOOKUP(B111,OLD!$A$2:$E$131,4,TRUE)</f>
        <v>Commodity Producer</v>
      </c>
      <c r="F111" t="str">
        <f>VLOOKUP(B111,OLD!$A$2:$E$131,5,TRUE)</f>
        <v>Commodity Template</v>
      </c>
      <c r="G111" s="8"/>
    </row>
    <row r="112" spans="1:7" ht="14.4" customHeight="1" x14ac:dyDescent="0.3">
      <c r="A112" t="s">
        <v>156</v>
      </c>
      <c r="B112" t="s">
        <v>157</v>
      </c>
      <c r="C112" t="str">
        <f>VLOOKUP(B112,OLD!$A$2:$C$131,2,)</f>
        <v>Finance</v>
      </c>
      <c r="D112" t="str">
        <f>VLOOKUP(B112,OLD!$A$2:$C$131,3,FALSE)</f>
        <v>Finance</v>
      </c>
      <c r="E112" t="str">
        <f>VLOOKUP(B112,OLD!$A$2:$E$131,4,TRUE)</f>
        <v>Spread-Based Lending</v>
      </c>
      <c r="F112" t="str">
        <f>VLOOKUP(B112,OLD!$A$2:$E$131,5,TRUE)</f>
        <v>Lending Template</v>
      </c>
      <c r="G112" s="8"/>
    </row>
    <row r="113" spans="1:7" ht="14.4" customHeight="1" x14ac:dyDescent="0.3">
      <c r="A113" t="s">
        <v>134</v>
      </c>
      <c r="B113" t="s">
        <v>37</v>
      </c>
      <c r="C113" t="str">
        <f>VLOOKUP(B113,OLD!$A$2:$C$131,2,)</f>
        <v>Miscellaneous</v>
      </c>
      <c r="D113" t="str">
        <f>VLOOKUP(B113,OLD!$A$2:$C$131,3,FALSE)</f>
        <v>Other</v>
      </c>
      <c r="E113" t="str">
        <f>VLOOKUP(B113,OLD!$A$2:$E$131,4,TRUE)</f>
        <v>Diversified</v>
      </c>
      <c r="F113" t="str">
        <f>VLOOKUP(B113,OLD!$A$2:$E$131,5,TRUE)</f>
        <v>Capital Allocation Template</v>
      </c>
      <c r="G113" s="8"/>
    </row>
    <row r="114" spans="1:7" ht="14.4" customHeight="1" x14ac:dyDescent="0.3">
      <c r="A114" t="s">
        <v>2</v>
      </c>
      <c r="B114" t="s">
        <v>3</v>
      </c>
      <c r="C114" t="str">
        <f>VLOOKUP(B114,OLD!$A$2:$C$131,2,)</f>
        <v>Finance</v>
      </c>
      <c r="D114" t="str">
        <f>VLOOKUP(B114,OLD!$A$2:$C$131,3,FALSE)</f>
        <v>Finance</v>
      </c>
      <c r="E114" t="str">
        <f>VLOOKUP(B114,OLD!$A$2:$E$131,4,TRUE)</f>
        <v>Fee Based Financial</v>
      </c>
      <c r="F114" t="str">
        <f>VLOOKUP(B114,OLD!$A$2:$E$131,5,TRUE)</f>
        <v>Asset Management Template</v>
      </c>
      <c r="G114" s="8"/>
    </row>
    <row r="115" spans="1:7" ht="14.4" customHeight="1" x14ac:dyDescent="0.3">
      <c r="A115" t="s">
        <v>147</v>
      </c>
      <c r="B115" t="s">
        <v>37</v>
      </c>
      <c r="C115" t="str">
        <f>VLOOKUP(B115,OLD!$A$2:$C$131,2,)</f>
        <v>Miscellaneous</v>
      </c>
      <c r="D115" t="str">
        <f>VLOOKUP(B115,OLD!$A$2:$C$131,3,FALSE)</f>
        <v>Other</v>
      </c>
      <c r="E115" t="str">
        <f>VLOOKUP(B115,OLD!$A$2:$E$131,4,TRUE)</f>
        <v>Diversified</v>
      </c>
      <c r="F115" t="str">
        <f>VLOOKUP(B115,OLD!$A$2:$E$131,5,TRUE)</f>
        <v>Capital Allocation Template</v>
      </c>
      <c r="G115" s="8"/>
    </row>
    <row r="116" spans="1:7" ht="14.4" customHeight="1" x14ac:dyDescent="0.3">
      <c r="A116" t="s">
        <v>179</v>
      </c>
      <c r="B116" t="s">
        <v>37</v>
      </c>
      <c r="C116" t="str">
        <f>VLOOKUP(B116,OLD!$A$2:$C$131,2,)</f>
        <v>Miscellaneous</v>
      </c>
      <c r="D116" t="str">
        <f>VLOOKUP(B116,OLD!$A$2:$C$131,3,FALSE)</f>
        <v>Other</v>
      </c>
      <c r="E116" t="str">
        <f>VLOOKUP(B116,OLD!$A$2:$E$131,4,TRUE)</f>
        <v>Diversified</v>
      </c>
      <c r="F116" t="str">
        <f>VLOOKUP(B116,OLD!$A$2:$E$131,5,TRUE)</f>
        <v>Capital Allocation Template</v>
      </c>
      <c r="G116" s="8"/>
    </row>
    <row r="117" spans="1:7" ht="14.4" customHeight="1" x14ac:dyDescent="0.3">
      <c r="A117" t="s">
        <v>114</v>
      </c>
      <c r="B117" t="s">
        <v>37</v>
      </c>
      <c r="C117" t="str">
        <f>VLOOKUP(B117,OLD!$A$2:$C$131,2,)</f>
        <v>Miscellaneous</v>
      </c>
      <c r="D117" t="str">
        <f>VLOOKUP(B117,OLD!$A$2:$C$131,3,FALSE)</f>
        <v>Other</v>
      </c>
      <c r="E117" t="str">
        <f>VLOOKUP(B117,OLD!$A$2:$E$131,4,TRUE)</f>
        <v>Diversified</v>
      </c>
      <c r="F117" t="str">
        <f>VLOOKUP(B117,OLD!$A$2:$E$131,5,TRUE)</f>
        <v>Capital Allocation Template</v>
      </c>
      <c r="G117" s="8"/>
    </row>
    <row r="118" spans="1:7" ht="14.4" customHeight="1" x14ac:dyDescent="0.3">
      <c r="A118" t="s">
        <v>48</v>
      </c>
      <c r="B118" t="s">
        <v>37</v>
      </c>
      <c r="C118" t="str">
        <f>VLOOKUP(B118,OLD!$A$2:$C$131,2,)</f>
        <v>Miscellaneous</v>
      </c>
      <c r="D118" t="str">
        <f>VLOOKUP(B118,OLD!$A$2:$C$131,3,FALSE)</f>
        <v>Other</v>
      </c>
      <c r="E118" t="str">
        <f>VLOOKUP(B118,OLD!$A$2:$E$131,4,TRUE)</f>
        <v>Diversified</v>
      </c>
      <c r="F118" t="str">
        <f>VLOOKUP(B118,OLD!$A$2:$E$131,5,TRUE)</f>
        <v>Capital Allocation Template</v>
      </c>
      <c r="G118" s="8"/>
    </row>
    <row r="119" spans="1:7" ht="14.4" customHeight="1" x14ac:dyDescent="0.3">
      <c r="A119" t="s">
        <v>65</v>
      </c>
      <c r="B119" t="s">
        <v>16</v>
      </c>
      <c r="C119" t="str">
        <f>VLOOKUP(B119,OLD!$A$2:$C$131,2,)</f>
        <v>Consumer non-durables</v>
      </c>
      <c r="D119" t="str">
        <f>VLOOKUP(B119,OLD!$A$2:$C$131,3,FALSE)</f>
        <v>Consumption &amp; FMCG</v>
      </c>
      <c r="E119" t="str">
        <f>VLOOKUP(B119,OLD!$A$2:$E$131,4,TRUE)</f>
        <v>Brand Franchise</v>
      </c>
      <c r="F119" t="str">
        <f>VLOOKUP(B119,OLD!$A$2:$E$131,5,TRUE)</f>
        <v>Consumer Brand Template</v>
      </c>
      <c r="G119" s="8"/>
    </row>
    <row r="120" spans="1:7" ht="14.4" customHeight="1" x14ac:dyDescent="0.3">
      <c r="A120" t="s">
        <v>66</v>
      </c>
      <c r="B120" t="s">
        <v>37</v>
      </c>
      <c r="C120" t="str">
        <f>VLOOKUP(B120,OLD!$A$2:$C$131,2,)</f>
        <v>Miscellaneous</v>
      </c>
      <c r="D120" t="str">
        <f>VLOOKUP(B120,OLD!$A$2:$C$131,3,FALSE)</f>
        <v>Other</v>
      </c>
      <c r="E120" t="str">
        <f>VLOOKUP(B120,OLD!$A$2:$E$131,4,TRUE)</f>
        <v>Diversified</v>
      </c>
      <c r="F120" t="str">
        <f>VLOOKUP(B120,OLD!$A$2:$E$131,5,TRUE)</f>
        <v>Capital Allocation Template</v>
      </c>
      <c r="G120" s="8"/>
    </row>
    <row r="121" spans="1:7" ht="14.4" customHeight="1" x14ac:dyDescent="0.3">
      <c r="A121" t="s">
        <v>71</v>
      </c>
      <c r="B121" t="s">
        <v>72</v>
      </c>
      <c r="C121" t="str">
        <f>VLOOKUP(B121,OLD!$A$2:$C$131,2,)</f>
        <v>Communications</v>
      </c>
      <c r="D121" t="str">
        <f>VLOOKUP(B121,OLD!$A$2:$C$131,3,FALSE)</f>
        <v>Other</v>
      </c>
      <c r="E121" t="str">
        <f>VLOOKUP(B121,OLD!$A$2:$E$131,4,TRUE)</f>
        <v>Network Utility</v>
      </c>
      <c r="F121" t="str">
        <f>VLOOKUP(B121,OLD!$A$2:$E$131,5,TRUE)</f>
        <v>Utility Template</v>
      </c>
      <c r="G121" s="8"/>
    </row>
    <row r="122" spans="1:7" ht="14.4" customHeight="1" x14ac:dyDescent="0.3">
      <c r="A122" t="s">
        <v>45</v>
      </c>
      <c r="B122" t="s">
        <v>37</v>
      </c>
      <c r="C122" t="str">
        <f>VLOOKUP(B122,OLD!$A$2:$C$131,2,)</f>
        <v>Miscellaneous</v>
      </c>
      <c r="D122" t="str">
        <f>VLOOKUP(B122,OLD!$A$2:$C$131,3,FALSE)</f>
        <v>Other</v>
      </c>
      <c r="E122" t="str">
        <f>VLOOKUP(B122,OLD!$A$2:$E$131,4,TRUE)</f>
        <v>Diversified</v>
      </c>
      <c r="F122" t="str">
        <f>VLOOKUP(B122,OLD!$A$2:$E$131,5,TRUE)</f>
        <v>Capital Allocation Template</v>
      </c>
      <c r="G122" s="8"/>
    </row>
    <row r="123" spans="1:7" ht="14.4" customHeight="1" x14ac:dyDescent="0.3">
      <c r="A123" t="s">
        <v>207</v>
      </c>
      <c r="B123" t="s">
        <v>37</v>
      </c>
      <c r="C123" t="str">
        <f>VLOOKUP(B123,OLD!$A$2:$C$131,2,)</f>
        <v>Miscellaneous</v>
      </c>
      <c r="D123" t="str">
        <f>VLOOKUP(B123,OLD!$A$2:$C$131,3,FALSE)</f>
        <v>Other</v>
      </c>
      <c r="E123" t="str">
        <f>VLOOKUP(B123,OLD!$A$2:$E$131,4,TRUE)</f>
        <v>Diversified</v>
      </c>
      <c r="F123" t="str">
        <f>VLOOKUP(B123,OLD!$A$2:$E$131,5,TRUE)</f>
        <v>Capital Allocation Template</v>
      </c>
      <c r="G123" s="8"/>
    </row>
    <row r="124" spans="1:7" ht="14.4" customHeight="1" x14ac:dyDescent="0.3">
      <c r="A124" t="s">
        <v>15</v>
      </c>
      <c r="B124" t="s">
        <v>16</v>
      </c>
      <c r="C124" t="str">
        <f>VLOOKUP(B124,OLD!$A$2:$C$131,2,)</f>
        <v>Consumer non-durables</v>
      </c>
      <c r="D124" t="str">
        <f>VLOOKUP(B124,OLD!$A$2:$C$131,3,FALSE)</f>
        <v>Consumption &amp; FMCG</v>
      </c>
      <c r="E124" t="str">
        <f>VLOOKUP(B124,OLD!$A$2:$E$131,4,TRUE)</f>
        <v>Brand Franchise</v>
      </c>
      <c r="F124" t="str">
        <f>VLOOKUP(B124,OLD!$A$2:$E$131,5,TRUE)</f>
        <v>Consumer Brand Template</v>
      </c>
      <c r="G124" s="8"/>
    </row>
    <row r="125" spans="1:7" x14ac:dyDescent="0.3">
      <c r="A125" t="s">
        <v>7</v>
      </c>
      <c r="B125" t="s">
        <v>8</v>
      </c>
      <c r="C125" t="str">
        <f>VLOOKUP(B125,OLD!$A$2:$C$131,2,)</f>
        <v>Process industries</v>
      </c>
      <c r="D125" t="str">
        <f>VLOOKUP(B125,OLD!$A$2:$C$131,3,FALSE)</f>
        <v>Other</v>
      </c>
      <c r="E125" t="str">
        <f>VLOOKUP(B125,OLD!$A$2:$E$131,4,TRUE)</f>
        <v>Manufacturing</v>
      </c>
      <c r="F125" t="str">
        <f>VLOOKUP(B125,OLD!$A$2:$E$131,5,TRUE)</f>
        <v>Manufacturing Template</v>
      </c>
      <c r="G125" s="8"/>
    </row>
    <row r="126" spans="1:7" ht="14.4" customHeight="1" x14ac:dyDescent="0.3">
      <c r="A126" t="s">
        <v>152</v>
      </c>
      <c r="B126" t="s">
        <v>34</v>
      </c>
      <c r="C126" t="str">
        <f>VLOOKUP(B126,OLD!$A$2:$C$131,2,)</f>
        <v>Process industries</v>
      </c>
      <c r="D126" t="str">
        <f>VLOOKUP(B126,OLD!$A$2:$C$131,3,FALSE)</f>
        <v>Cement Chemical Metal</v>
      </c>
      <c r="E126" t="str">
        <f>VLOOKUP(B126,OLD!$A$2:$E$131,4,TRUE)</f>
        <v>Manufacturing</v>
      </c>
      <c r="F126" t="str">
        <f>VLOOKUP(B126,OLD!$A$2:$E$131,5,TRUE)</f>
        <v>Manufacturing Template</v>
      </c>
      <c r="G126" s="8"/>
    </row>
    <row r="127" spans="1:7" ht="14.4" customHeight="1" x14ac:dyDescent="0.3">
      <c r="A127" t="s">
        <v>46</v>
      </c>
      <c r="B127" t="s">
        <v>47</v>
      </c>
      <c r="C127" t="str">
        <f>VLOOKUP(B127,OLD!$A$2:$C$131,2,)</f>
        <v>Process industries</v>
      </c>
      <c r="D127" t="str">
        <f>VLOOKUP(B127,OLD!$A$2:$C$131,3,FALSE)</f>
        <v>Other</v>
      </c>
      <c r="E127" t="str">
        <f>VLOOKUP(B127,OLD!$A$2:$E$131,4,TRUE)</f>
        <v>Manufacturing</v>
      </c>
      <c r="F127" t="str">
        <f>VLOOKUP(B127,OLD!$A$2:$E$131,5,TRUE)</f>
        <v>Manufacturing Template</v>
      </c>
      <c r="G127" s="8"/>
    </row>
    <row r="128" spans="1:7" ht="14.4" customHeight="1" x14ac:dyDescent="0.3">
      <c r="A128" t="s">
        <v>210</v>
      </c>
      <c r="B128" t="s">
        <v>78</v>
      </c>
      <c r="C128" t="str">
        <f>VLOOKUP(B128,OLD!$A$2:$C$131,2,)</f>
        <v>Utilities</v>
      </c>
      <c r="D128" t="str">
        <f>VLOOKUP(B128,OLD!$A$2:$C$131,3,FALSE)</f>
        <v>Other</v>
      </c>
      <c r="E128" t="str">
        <f>VLOOKUP(B128,OLD!$A$2:$E$131,4,TRUE)</f>
        <v>Regulated Utility</v>
      </c>
      <c r="F128" t="str">
        <f>VLOOKUP(B128,OLD!$A$2:$E$131,5,TRUE)</f>
        <v>Utility Template</v>
      </c>
      <c r="G128" s="8"/>
    </row>
    <row r="129" spans="1:7" x14ac:dyDescent="0.3">
      <c r="A129" t="s">
        <v>41</v>
      </c>
      <c r="B129" t="s">
        <v>42</v>
      </c>
      <c r="C129" t="str">
        <f>VLOOKUP(B129,OLD!$A$2:$C$131,2,)</f>
        <v>Consumer non-durables</v>
      </c>
      <c r="D129" t="str">
        <f>VLOOKUP(B129,OLD!$A$2:$C$131,3,FALSE)</f>
        <v>Consumption &amp; FMCG</v>
      </c>
      <c r="E129" t="str">
        <f>VLOOKUP(B129,OLD!$A$2:$E$131,4,TRUE)</f>
        <v>Brand Franchise</v>
      </c>
      <c r="F129" t="str">
        <f>VLOOKUP(B129,OLD!$A$2:$E$131,5,TRUE)</f>
        <v>Consumer Brand Template</v>
      </c>
      <c r="G129" s="8"/>
    </row>
    <row r="130" spans="1:7" ht="14.4" customHeight="1" x14ac:dyDescent="0.3">
      <c r="A130" t="s">
        <v>84</v>
      </c>
      <c r="B130" t="s">
        <v>34</v>
      </c>
      <c r="C130" t="str">
        <f>VLOOKUP(B130,OLD!$A$2:$C$131,2,)</f>
        <v>Process industries</v>
      </c>
      <c r="D130" t="str">
        <f>VLOOKUP(B130,OLD!$A$2:$C$131,3,FALSE)</f>
        <v>Cement Chemical Metal</v>
      </c>
      <c r="E130" t="str">
        <f>VLOOKUP(B130,OLD!$A$2:$E$131,4,TRUE)</f>
        <v>Manufacturing</v>
      </c>
      <c r="F130" t="str">
        <f>VLOOKUP(B130,OLD!$A$2:$E$131,5,TRUE)</f>
        <v>Manufacturing Template</v>
      </c>
      <c r="G130" s="8"/>
    </row>
    <row r="131" spans="1:7" ht="14.4" customHeight="1" x14ac:dyDescent="0.3">
      <c r="A131" t="s">
        <v>39</v>
      </c>
      <c r="B131" t="s">
        <v>40</v>
      </c>
      <c r="C131" t="str">
        <f>VLOOKUP(B131,OLD!$A$2:$C$131,2,)</f>
        <v>Process industries</v>
      </c>
      <c r="D131" t="str">
        <f>VLOOKUP(B131,OLD!$A$2:$C$131,3,FALSE)</f>
        <v>Cement Chemical Metal</v>
      </c>
      <c r="E131" t="str">
        <f>VLOOKUP(B131,OLD!$A$2:$E$131,4,TRUE)</f>
        <v>Commodity Producer</v>
      </c>
      <c r="F131" t="str">
        <f>VLOOKUP(B131,OLD!$A$2:$E$131,5,TRUE)</f>
        <v>Commodity Template</v>
      </c>
      <c r="G131" s="8"/>
    </row>
    <row r="132" spans="1:7" ht="14.4" customHeight="1" x14ac:dyDescent="0.3">
      <c r="A132" t="s">
        <v>49</v>
      </c>
      <c r="B132" t="s">
        <v>50</v>
      </c>
      <c r="C132" t="str">
        <f>VLOOKUP(B132,OLD!$A$2:$C$131,2,)</f>
        <v>Health technology</v>
      </c>
      <c r="D132" t="str">
        <f>VLOOKUP(B132,OLD!$A$2:$C$131,3,FALSE)</f>
        <v>Healthcare</v>
      </c>
      <c r="E132" t="str">
        <f>VLOOKUP(B132,OLD!$A$2:$E$131,4,TRUE)</f>
        <v>IP + Manufacturing</v>
      </c>
      <c r="F132" t="str">
        <f>VLOOKUP(B132,OLD!$A$2:$E$131,5,TRUE)</f>
        <v>Specialty Manufacturing Template</v>
      </c>
      <c r="G132" s="8"/>
    </row>
    <row r="133" spans="1:7" x14ac:dyDescent="0.3">
      <c r="A133" t="s">
        <v>205</v>
      </c>
      <c r="B133" t="s">
        <v>128</v>
      </c>
      <c r="C133" t="str">
        <f>VLOOKUP(B133,OLD!$A$2:$C$131,2,)</f>
        <v>Distribution services</v>
      </c>
      <c r="D133" t="str">
        <f>VLOOKUP(B133,OLD!$A$2:$C$131,3,FALSE)</f>
        <v>Other</v>
      </c>
      <c r="E133" t="str">
        <f>VLOOKUP(B133,OLD!$A$2:$E$131,4,TRUE)</f>
        <v>Distribution</v>
      </c>
      <c r="F133" t="str">
        <f>VLOOKUP(B133,OLD!$A$2:$E$131,5,TRUE)</f>
        <v>Retail Template</v>
      </c>
      <c r="G133" s="8"/>
    </row>
    <row r="134" spans="1:7" x14ac:dyDescent="0.3">
      <c r="A134" t="s">
        <v>222</v>
      </c>
      <c r="B134" t="s">
        <v>37</v>
      </c>
      <c r="C134" t="str">
        <f>VLOOKUP(B134,OLD!$A$2:$C$131,2,)</f>
        <v>Miscellaneous</v>
      </c>
      <c r="D134" t="str">
        <f>VLOOKUP(B134,OLD!$A$2:$C$131,3,FALSE)</f>
        <v>Other</v>
      </c>
      <c r="E134" t="str">
        <f>VLOOKUP(B134,OLD!$A$2:$E$131,4,TRUE)</f>
        <v>Diversified</v>
      </c>
      <c r="F134" t="str">
        <f>VLOOKUP(B134,OLD!$A$2:$E$131,5,TRUE)</f>
        <v>Capital Allocation Template</v>
      </c>
    </row>
    <row r="135" spans="1:7" x14ac:dyDescent="0.3">
      <c r="A135" t="s">
        <v>160</v>
      </c>
      <c r="B135" t="s">
        <v>37</v>
      </c>
      <c r="C135" t="str">
        <f>VLOOKUP(B135,OLD!$A$2:$C$131,2,)</f>
        <v>Miscellaneous</v>
      </c>
      <c r="D135" t="str">
        <f>VLOOKUP(B135,OLD!$A$2:$C$131,3,FALSE)</f>
        <v>Other</v>
      </c>
      <c r="E135" t="str">
        <f>VLOOKUP(B135,OLD!$A$2:$E$131,4,TRUE)</f>
        <v>Diversified</v>
      </c>
      <c r="F135" t="str">
        <f>VLOOKUP(B135,OLD!$A$2:$E$131,5,TRUE)</f>
        <v>Capital Allocation Template</v>
      </c>
    </row>
    <row r="136" spans="1:7" x14ac:dyDescent="0.3">
      <c r="A136" t="s">
        <v>109</v>
      </c>
      <c r="B136" t="s">
        <v>37</v>
      </c>
      <c r="C136" t="str">
        <f>VLOOKUP(B136,OLD!$A$2:$C$131,2,)</f>
        <v>Miscellaneous</v>
      </c>
      <c r="D136" t="str">
        <f>VLOOKUP(B136,OLD!$A$2:$C$131,3,FALSE)</f>
        <v>Other</v>
      </c>
      <c r="E136" t="str">
        <f>VLOOKUP(B136,OLD!$A$2:$E$131,4,TRUE)</f>
        <v>Diversified</v>
      </c>
      <c r="F136" t="str">
        <f>VLOOKUP(B136,OLD!$A$2:$E$131,5,TRUE)</f>
        <v>Capital Allocation Template</v>
      </c>
    </row>
    <row r="137" spans="1:7" x14ac:dyDescent="0.3">
      <c r="A137" t="s">
        <v>88</v>
      </c>
      <c r="B137" t="s">
        <v>37</v>
      </c>
      <c r="C137" t="str">
        <f>VLOOKUP(B137,OLD!$A$2:$C$131,2,)</f>
        <v>Miscellaneous</v>
      </c>
      <c r="D137" t="str">
        <f>VLOOKUP(B137,OLD!$A$2:$C$131,3,FALSE)</f>
        <v>Other</v>
      </c>
      <c r="E137" t="str">
        <f>VLOOKUP(B137,OLD!$A$2:$E$131,4,TRUE)</f>
        <v>Diversified</v>
      </c>
      <c r="F137" t="str">
        <f>VLOOKUP(B137,OLD!$A$2:$E$131,5,TRUE)</f>
        <v>Capital Allocation Template</v>
      </c>
    </row>
    <row r="138" spans="1:7" x14ac:dyDescent="0.3">
      <c r="A138" t="s">
        <v>440</v>
      </c>
      <c r="B138" t="s">
        <v>37</v>
      </c>
      <c r="C138" t="str">
        <f>VLOOKUP(B138,OLD!$A$2:$C$131,2,)</f>
        <v>Miscellaneous</v>
      </c>
      <c r="D138" t="str">
        <f>VLOOKUP(B138,OLD!$A$2:$C$131,3,FALSE)</f>
        <v>Other</v>
      </c>
      <c r="E138" t="str">
        <f>VLOOKUP(B138,OLD!$A$2:$E$131,4,TRUE)</f>
        <v>Diversified</v>
      </c>
      <c r="F138" t="str">
        <f>VLOOKUP(B138,OLD!$A$2:$E$131,5,TRUE)</f>
        <v>Capital Allocation Template</v>
      </c>
    </row>
    <row r="139" spans="1:7" x14ac:dyDescent="0.3">
      <c r="A139" t="s">
        <v>138</v>
      </c>
      <c r="B139" t="s">
        <v>78</v>
      </c>
      <c r="C139" t="str">
        <f>VLOOKUP(B139,OLD!$A$2:$C$131,2,)</f>
        <v>Utilities</v>
      </c>
      <c r="D139" t="str">
        <f>VLOOKUP(B139,OLD!$A$2:$C$131,3,FALSE)</f>
        <v>Other</v>
      </c>
      <c r="E139" t="str">
        <f>VLOOKUP(B139,OLD!$A$2:$E$131,4,TRUE)</f>
        <v>Regulated Utility</v>
      </c>
      <c r="F139" t="str">
        <f>VLOOKUP(B139,OLD!$A$2:$E$131,5,TRUE)</f>
        <v>Utility Template</v>
      </c>
    </row>
    <row r="140" spans="1:7" x14ac:dyDescent="0.3">
      <c r="A140" t="s">
        <v>80</v>
      </c>
      <c r="B140" t="s">
        <v>78</v>
      </c>
      <c r="C140" t="str">
        <f>VLOOKUP(B140,OLD!$A$2:$C$131,2,)</f>
        <v>Utilities</v>
      </c>
      <c r="D140" t="str">
        <f>VLOOKUP(B140,OLD!$A$2:$C$131,3,FALSE)</f>
        <v>Other</v>
      </c>
      <c r="E140" t="str">
        <f>VLOOKUP(B140,OLD!$A$2:$E$131,4,TRUE)</f>
        <v>Regulated Utility</v>
      </c>
      <c r="F140" t="str">
        <f>VLOOKUP(B140,OLD!$A$2:$E$131,5,TRUE)</f>
        <v>Utility Template</v>
      </c>
    </row>
    <row r="141" spans="1:7" x14ac:dyDescent="0.3">
      <c r="A141" t="s">
        <v>77</v>
      </c>
      <c r="B141" t="s">
        <v>78</v>
      </c>
      <c r="C141" t="str">
        <f>VLOOKUP(B141,OLD!$A$2:$C$131,2,)</f>
        <v>Utilities</v>
      </c>
      <c r="D141" t="str">
        <f>VLOOKUP(B141,OLD!$A$2:$C$131,3,FALSE)</f>
        <v>Other</v>
      </c>
      <c r="E141" t="str">
        <f>VLOOKUP(B141,OLD!$A$2:$E$131,4,TRUE)</f>
        <v>Regulated Utility</v>
      </c>
      <c r="F141" t="str">
        <f>VLOOKUP(B141,OLD!$A$2:$E$131,5,TRUE)</f>
        <v>Utility Template</v>
      </c>
    </row>
    <row r="142" spans="1:7" x14ac:dyDescent="0.3">
      <c r="A142" t="s">
        <v>227</v>
      </c>
      <c r="B142" t="s">
        <v>78</v>
      </c>
      <c r="C142" t="str">
        <f>VLOOKUP(B142,OLD!$A$2:$C$131,2,)</f>
        <v>Utilities</v>
      </c>
      <c r="D142" t="str">
        <f>VLOOKUP(B142,OLD!$A$2:$C$131,3,FALSE)</f>
        <v>Other</v>
      </c>
      <c r="E142" t="str">
        <f>VLOOKUP(B142,OLD!$A$2:$E$131,4,TRUE)</f>
        <v>Regulated Utility</v>
      </c>
      <c r="F142" t="str">
        <f>VLOOKUP(B142,OLD!$A$2:$E$131,5,TRUE)</f>
        <v>Utility Template</v>
      </c>
    </row>
    <row r="143" spans="1:7" x14ac:dyDescent="0.3">
      <c r="A143" t="s">
        <v>123</v>
      </c>
      <c r="B143" t="s">
        <v>1</v>
      </c>
      <c r="C143" t="str">
        <f>VLOOKUP(B143,OLD!$A$2:$C$131,2,)</f>
        <v>Non-energy minerals</v>
      </c>
      <c r="D143" t="str">
        <f>VLOOKUP(B143,OLD!$A$2:$C$131,3,FALSE)</f>
        <v>Cement Chemical Metal</v>
      </c>
      <c r="E143" t="str">
        <f>VLOOKUP(B143,OLD!$A$2:$E$131,4,TRUE)</f>
        <v>Commodity Producer</v>
      </c>
      <c r="F143" t="str">
        <f>VLOOKUP(B143,OLD!$A$2:$E$131,5,TRUE)</f>
        <v>Commodity Template</v>
      </c>
    </row>
    <row r="144" spans="1:7" x14ac:dyDescent="0.3">
      <c r="A144" t="s">
        <v>190</v>
      </c>
      <c r="B144" t="s">
        <v>85</v>
      </c>
      <c r="C144" t="str">
        <f>VLOOKUP(B144,OLD!$A$2:$C$131,2,)</f>
        <v>Consumer services</v>
      </c>
      <c r="D144" t="str">
        <f>VLOOKUP(B144,OLD!$A$2:$C$131,3,FALSE)</f>
        <v>Other</v>
      </c>
      <c r="E144" t="str">
        <f>VLOOKUP(B144,OLD!$A$2:$E$131,4,TRUE)</f>
        <v>Media</v>
      </c>
      <c r="F144" t="str">
        <f>VLOOKUP(B144,OLD!$A$2:$E$131,5,TRUE)</f>
        <v>Asset Utilization Template</v>
      </c>
    </row>
    <row r="145" spans="1:6" x14ac:dyDescent="0.3">
      <c r="A145" t="s">
        <v>188</v>
      </c>
      <c r="B145" t="s">
        <v>37</v>
      </c>
      <c r="C145" t="str">
        <f>VLOOKUP(B145,OLD!$A$2:$C$131,2,)</f>
        <v>Miscellaneous</v>
      </c>
      <c r="D145" t="str">
        <f>VLOOKUP(B145,OLD!$A$2:$C$131,3,FALSE)</f>
        <v>Other</v>
      </c>
      <c r="E145" t="str">
        <f>VLOOKUP(B145,OLD!$A$2:$E$131,4,TRUE)</f>
        <v>Diversified</v>
      </c>
      <c r="F145" t="str">
        <f>VLOOKUP(B145,OLD!$A$2:$E$131,5,TRUE)</f>
        <v>Capital Allocation Template</v>
      </c>
    </row>
    <row r="146" spans="1:6" x14ac:dyDescent="0.3">
      <c r="A146" t="s">
        <v>198</v>
      </c>
      <c r="B146" t="s">
        <v>37</v>
      </c>
      <c r="C146" t="str">
        <f>VLOOKUP(B146,OLD!$A$2:$C$131,2,)</f>
        <v>Miscellaneous</v>
      </c>
      <c r="D146" t="str">
        <f>VLOOKUP(B146,OLD!$A$2:$C$131,3,FALSE)</f>
        <v>Other</v>
      </c>
      <c r="E146" t="str">
        <f>VLOOKUP(B146,OLD!$A$2:$E$131,4,TRUE)</f>
        <v>Diversified</v>
      </c>
      <c r="F146" t="str">
        <f>VLOOKUP(B146,OLD!$A$2:$E$131,5,TRUE)</f>
        <v>Capital Allocation Template</v>
      </c>
    </row>
    <row r="147" spans="1:6" x14ac:dyDescent="0.3">
      <c r="A147" t="s">
        <v>161</v>
      </c>
      <c r="B147" t="s">
        <v>157</v>
      </c>
      <c r="C147" t="str">
        <f>VLOOKUP(B147,OLD!$A$2:$C$131,2,)</f>
        <v>Finance</v>
      </c>
      <c r="D147" t="str">
        <f>VLOOKUP(B147,OLD!$A$2:$C$131,3,FALSE)</f>
        <v>Finance</v>
      </c>
      <c r="E147" t="str">
        <f>VLOOKUP(B147,OLD!$A$2:$E$131,4,TRUE)</f>
        <v>Spread-Based Lending</v>
      </c>
      <c r="F147" t="str">
        <f>VLOOKUP(B147,OLD!$A$2:$E$131,5,TRUE)</f>
        <v>Lending Template</v>
      </c>
    </row>
    <row r="148" spans="1:6" x14ac:dyDescent="0.3">
      <c r="A148" t="s">
        <v>168</v>
      </c>
      <c r="B148" t="s">
        <v>157</v>
      </c>
      <c r="C148" t="str">
        <f>VLOOKUP(B148,OLD!$A$2:$C$131,2,)</f>
        <v>Finance</v>
      </c>
      <c r="D148" t="str">
        <f>VLOOKUP(B148,OLD!$A$2:$C$131,3,FALSE)</f>
        <v>Finance</v>
      </c>
      <c r="E148" t="str">
        <f>VLOOKUP(B148,OLD!$A$2:$E$131,4,TRUE)</f>
        <v>Spread-Based Lending</v>
      </c>
      <c r="F148" t="str">
        <f>VLOOKUP(B148,OLD!$A$2:$E$131,5,TRUE)</f>
        <v>Lending Template</v>
      </c>
    </row>
    <row r="149" spans="1:6" x14ac:dyDescent="0.3">
      <c r="A149" t="s">
        <v>220</v>
      </c>
      <c r="B149" t="s">
        <v>37</v>
      </c>
      <c r="C149" t="str">
        <f>VLOOKUP(B149,OLD!$A$2:$C$131,2,)</f>
        <v>Miscellaneous</v>
      </c>
      <c r="D149" t="str">
        <f>VLOOKUP(B149,OLD!$A$2:$C$131,3,FALSE)</f>
        <v>Other</v>
      </c>
      <c r="E149" t="str">
        <f>VLOOKUP(B149,OLD!$A$2:$E$131,4,TRUE)</f>
        <v>Diversified</v>
      </c>
      <c r="F149" t="str">
        <f>VLOOKUP(B149,OLD!$A$2:$E$131,5,TRUE)</f>
        <v>Capital Allocation Template</v>
      </c>
    </row>
    <row r="150" spans="1:6" x14ac:dyDescent="0.3">
      <c r="A150" t="s">
        <v>186</v>
      </c>
      <c r="B150" t="s">
        <v>37</v>
      </c>
      <c r="C150" t="str">
        <f>VLOOKUP(B150,OLD!$A$2:$C$131,2,)</f>
        <v>Miscellaneous</v>
      </c>
      <c r="D150" t="str">
        <f>VLOOKUP(B150,OLD!$A$2:$C$131,3,FALSE)</f>
        <v>Other</v>
      </c>
      <c r="E150" t="str">
        <f>VLOOKUP(B150,OLD!$A$2:$E$131,4,TRUE)</f>
        <v>Diversified</v>
      </c>
      <c r="F150" t="str">
        <f>VLOOKUP(B150,OLD!$A$2:$E$131,5,TRUE)</f>
        <v>Capital Allocation Template</v>
      </c>
    </row>
    <row r="151" spans="1:6" x14ac:dyDescent="0.3">
      <c r="A151" t="s">
        <v>164</v>
      </c>
      <c r="B151" t="s">
        <v>165</v>
      </c>
      <c r="C151" t="str">
        <f>VLOOKUP(B151,OLD!$A$2:$C$131,2,)</f>
        <v>Finance</v>
      </c>
      <c r="D151" t="str">
        <f>VLOOKUP(B151,OLD!$A$2:$C$131,3,FALSE)</f>
        <v>Finance</v>
      </c>
      <c r="E151" t="str">
        <f>VLOOKUP(B151,OLD!$A$2:$E$131,4,TRUE)</f>
        <v>Yield Asset</v>
      </c>
      <c r="F151" t="str">
        <f>VLOOKUP(B151,OLD!$A$2:$E$131,5,TRUE)</f>
        <v>Real Estate Template</v>
      </c>
    </row>
    <row r="152" spans="1:6" x14ac:dyDescent="0.3">
      <c r="A152" t="s">
        <v>216</v>
      </c>
      <c r="B152" t="s">
        <v>28</v>
      </c>
      <c r="C152" t="str">
        <f>VLOOKUP(B152,OLD!$A$2:$C$131,2,)</f>
        <v>Finance</v>
      </c>
      <c r="D152" t="str">
        <f>VLOOKUP(B152,OLD!$A$2:$C$131,3,FALSE)</f>
        <v>Other</v>
      </c>
      <c r="E152" t="str">
        <f>VLOOKUP(B152,OLD!$A$2:$E$131,4,TRUE)</f>
        <v>Development</v>
      </c>
      <c r="F152" t="str">
        <f>VLOOKUP(B152,OLD!$A$2:$E$131,5,TRUE)</f>
        <v>Real Estate Template</v>
      </c>
    </row>
    <row r="153" spans="1:6" x14ac:dyDescent="0.3">
      <c r="A153" t="s">
        <v>162</v>
      </c>
      <c r="B153" t="s">
        <v>163</v>
      </c>
      <c r="C153" t="str">
        <f>VLOOKUP(B153,OLD!$A$2:$C$131,2,)</f>
        <v>Energy minerals</v>
      </c>
      <c r="D153" t="str">
        <f>VLOOKUP(B153,OLD!$A$2:$C$131,3,FALSE)</f>
        <v>Oil &amp; Gas</v>
      </c>
      <c r="E153" t="str">
        <f>VLOOKUP(B153,OLD!$A$2:$E$131,4,TRUE)</f>
        <v>Processing</v>
      </c>
      <c r="F153" t="str">
        <f>VLOOKUP(B153,OLD!$A$2:$E$131,5,TRUE)</f>
        <v>Commodity Template</v>
      </c>
    </row>
    <row r="154" spans="1:6" x14ac:dyDescent="0.3">
      <c r="A154" t="s">
        <v>27</v>
      </c>
      <c r="B154" t="s">
        <v>28</v>
      </c>
      <c r="C154" t="str">
        <f>VLOOKUP(B154,OLD!$A$2:$C$131,2,)</f>
        <v>Finance</v>
      </c>
      <c r="D154" t="str">
        <f>VLOOKUP(B154,OLD!$A$2:$C$131,3,FALSE)</f>
        <v>Other</v>
      </c>
      <c r="E154" t="str">
        <f>VLOOKUP(B154,OLD!$A$2:$E$131,4,TRUE)</f>
        <v>Development</v>
      </c>
      <c r="F154" t="str">
        <f>VLOOKUP(B154,OLD!$A$2:$E$131,5,TRUE)</f>
        <v>Real Estate Template</v>
      </c>
    </row>
    <row r="155" spans="1:6" x14ac:dyDescent="0.3">
      <c r="A155" t="s">
        <v>192</v>
      </c>
      <c r="B155" t="s">
        <v>37</v>
      </c>
      <c r="C155" t="str">
        <f>VLOOKUP(B155,OLD!$A$2:$C$131,2,)</f>
        <v>Miscellaneous</v>
      </c>
      <c r="D155" t="str">
        <f>VLOOKUP(B155,OLD!$A$2:$C$131,3,FALSE)</f>
        <v>Other</v>
      </c>
      <c r="E155" t="str">
        <f>VLOOKUP(B155,OLD!$A$2:$E$131,4,TRUE)</f>
        <v>Diversified</v>
      </c>
      <c r="F155" t="str">
        <f>VLOOKUP(B155,OLD!$A$2:$E$131,5,TRUE)</f>
        <v>Capital Allocation Template</v>
      </c>
    </row>
    <row r="156" spans="1:6" x14ac:dyDescent="0.3">
      <c r="A156" t="s">
        <v>441</v>
      </c>
      <c r="B156" t="s">
        <v>37</v>
      </c>
      <c r="C156" t="str">
        <f>VLOOKUP(B156,OLD!$A$2:$C$131,2,)</f>
        <v>Miscellaneous</v>
      </c>
      <c r="D156" t="str">
        <f>VLOOKUP(B156,OLD!$A$2:$C$131,3,FALSE)</f>
        <v>Other</v>
      </c>
      <c r="E156" t="str">
        <f>VLOOKUP(B156,OLD!$A$2:$E$131,4,TRUE)</f>
        <v>Diversified</v>
      </c>
      <c r="F156" t="str">
        <f>VLOOKUP(B156,OLD!$A$2:$E$131,5,TRUE)</f>
        <v>Capital Allocation Template</v>
      </c>
    </row>
    <row r="157" spans="1:6" x14ac:dyDescent="0.3">
      <c r="A157" t="s">
        <v>60</v>
      </c>
      <c r="B157" t="s">
        <v>61</v>
      </c>
      <c r="C157" t="str">
        <f>VLOOKUP(B157,OLD!$A$2:$C$131,2,)</f>
        <v>Transportation</v>
      </c>
      <c r="D157" t="str">
        <f>VLOOKUP(B157,OLD!$A$2:$C$131,3,FALSE)</f>
        <v>Other</v>
      </c>
      <c r="E157" t="str">
        <f>VLOOKUP(B157,OLD!$A$2:$E$131,4,TRUE)</f>
        <v>Asset Utilization</v>
      </c>
      <c r="F157" t="str">
        <f>VLOOKUP(B157,OLD!$A$2:$E$131,5,TRUE)</f>
        <v>Asset Utilization Template</v>
      </c>
    </row>
    <row r="158" spans="1:6" x14ac:dyDescent="0.3">
      <c r="A158" t="s">
        <v>126</v>
      </c>
      <c r="B158" t="s">
        <v>37</v>
      </c>
      <c r="C158" t="str">
        <f>VLOOKUP(B158,OLD!$A$2:$C$131,2,)</f>
        <v>Miscellaneous</v>
      </c>
      <c r="D158" t="str">
        <f>VLOOKUP(B158,OLD!$A$2:$C$131,3,FALSE)</f>
        <v>Other</v>
      </c>
      <c r="E158" t="str">
        <f>VLOOKUP(B158,OLD!$A$2:$E$131,4,TRUE)</f>
        <v>Diversified</v>
      </c>
      <c r="F158" t="str">
        <f>VLOOKUP(B158,OLD!$A$2:$E$131,5,TRUE)</f>
        <v>Capital Allocation Template</v>
      </c>
    </row>
    <row r="159" spans="1:6" x14ac:dyDescent="0.3">
      <c r="A159" t="s">
        <v>187</v>
      </c>
      <c r="B159" t="s">
        <v>37</v>
      </c>
      <c r="C159" t="str">
        <f>VLOOKUP(B159,OLD!$A$2:$C$131,2,)</f>
        <v>Miscellaneous</v>
      </c>
      <c r="D159" t="str">
        <f>VLOOKUP(B159,OLD!$A$2:$C$131,3,FALSE)</f>
        <v>Other</v>
      </c>
      <c r="E159" t="str">
        <f>VLOOKUP(B159,OLD!$A$2:$E$131,4,TRUE)</f>
        <v>Diversified</v>
      </c>
      <c r="F159" t="str">
        <f>VLOOKUP(B159,OLD!$A$2:$E$131,5,TRUE)</f>
        <v>Capital Allocation Template</v>
      </c>
    </row>
    <row r="160" spans="1:6" x14ac:dyDescent="0.3">
      <c r="A160" t="s">
        <v>140</v>
      </c>
      <c r="B160" t="s">
        <v>16</v>
      </c>
      <c r="C160" t="str">
        <f>VLOOKUP(B160,OLD!$A$2:$C$131,2,)</f>
        <v>Consumer non-durables</v>
      </c>
      <c r="D160" t="str">
        <f>VLOOKUP(B160,OLD!$A$2:$C$131,3,FALSE)</f>
        <v>Consumption &amp; FMCG</v>
      </c>
      <c r="E160" t="str">
        <f>VLOOKUP(B160,OLD!$A$2:$E$131,4,TRUE)</f>
        <v>Brand Franchise</v>
      </c>
      <c r="F160" t="str">
        <f>VLOOKUP(B160,OLD!$A$2:$E$131,5,TRUE)</f>
        <v>Consumer Brand Template</v>
      </c>
    </row>
    <row r="161" spans="1:6" x14ac:dyDescent="0.3">
      <c r="A161" t="s">
        <v>191</v>
      </c>
      <c r="B161" t="s">
        <v>37</v>
      </c>
      <c r="C161" t="str">
        <f>VLOOKUP(B161,OLD!$A$2:$C$131,2,)</f>
        <v>Miscellaneous</v>
      </c>
      <c r="D161" t="str">
        <f>VLOOKUP(B161,OLD!$A$2:$C$131,3,FALSE)</f>
        <v>Other</v>
      </c>
      <c r="E161" t="str">
        <f>VLOOKUP(B161,OLD!$A$2:$E$131,4,TRUE)</f>
        <v>Diversified</v>
      </c>
      <c r="F161" t="str">
        <f>VLOOKUP(B161,OLD!$A$2:$E$131,5,TRUE)</f>
        <v>Capital Allocation Template</v>
      </c>
    </row>
    <row r="162" spans="1:6" x14ac:dyDescent="0.3">
      <c r="A162" t="s">
        <v>67</v>
      </c>
      <c r="B162" t="s">
        <v>68</v>
      </c>
      <c r="C162" t="str">
        <f>VLOOKUP(B162,OLD!$A$2:$C$131,2,)</f>
        <v>Transportation</v>
      </c>
      <c r="D162" t="str">
        <f>VLOOKUP(B162,OLD!$A$2:$C$131,3,FALSE)</f>
        <v>Other</v>
      </c>
      <c r="E162" t="str">
        <f>VLOOKUP(B162,OLD!$A$2:$E$131,4,TRUE)</f>
        <v>Asset Utilization</v>
      </c>
      <c r="F162" t="str">
        <f>VLOOKUP(B162,OLD!$A$2:$E$131,5,TRUE)</f>
        <v>Asset Utilization Template</v>
      </c>
    </row>
    <row r="163" spans="1:6" x14ac:dyDescent="0.3">
      <c r="A163" t="s">
        <v>63</v>
      </c>
      <c r="B163" t="s">
        <v>64</v>
      </c>
      <c r="C163" t="str">
        <f>VLOOKUP(B163,OLD!$A$2:$C$131,2,)</f>
        <v>Technology services</v>
      </c>
      <c r="D163" t="str">
        <f>VLOOKUP(B163,OLD!$A$2:$C$131,3,FALSE)</f>
        <v>IT</v>
      </c>
      <c r="E163" t="str">
        <f>VLOOKUP(B163,OLD!$A$2:$E$131,4,TRUE)</f>
        <v>Subscription Revenue</v>
      </c>
      <c r="F163" t="str">
        <f>VLOOKUP(B163,OLD!$A$2:$E$131,5,TRUE)</f>
        <v>Technology Template</v>
      </c>
    </row>
    <row r="164" spans="1:6" x14ac:dyDescent="0.3">
      <c r="A164" t="s">
        <v>17</v>
      </c>
      <c r="B164" t="s">
        <v>18</v>
      </c>
      <c r="C164" t="str">
        <f>VLOOKUP(B164,OLD!$A$2:$C$131,2,)</f>
        <v>Retail trade</v>
      </c>
      <c r="D164" t="str">
        <f>VLOOKUP(B164,OLD!$A$2:$C$131,3,FALSE)</f>
        <v>Other</v>
      </c>
      <c r="E164" t="str">
        <f>VLOOKUP(B164,OLD!$A$2:$E$131,4,TRUE)</f>
        <v>Store Economics</v>
      </c>
      <c r="F164" t="str">
        <f>VLOOKUP(B164,OLD!$A$2:$E$131,5,TRUE)</f>
        <v>Retail Template</v>
      </c>
    </row>
    <row r="165" spans="1:6" x14ac:dyDescent="0.3">
      <c r="A165" t="s">
        <v>54</v>
      </c>
      <c r="B165" t="s">
        <v>34</v>
      </c>
      <c r="C165" t="str">
        <f>VLOOKUP(B165,OLD!$A$2:$C$131,2,)</f>
        <v>Process industries</v>
      </c>
      <c r="D165" t="str">
        <f>VLOOKUP(B165,OLD!$A$2:$C$131,3,FALSE)</f>
        <v>Cement Chemical Metal</v>
      </c>
      <c r="E165" t="str">
        <f>VLOOKUP(B165,OLD!$A$2:$E$131,4,TRUE)</f>
        <v>Manufacturing</v>
      </c>
      <c r="F165" t="str">
        <f>VLOOKUP(B165,OLD!$A$2:$E$131,5,TRUE)</f>
        <v>Manufacturing Template</v>
      </c>
    </row>
    <row r="166" spans="1:6" x14ac:dyDescent="0.3">
      <c r="A166" t="s">
        <v>176</v>
      </c>
      <c r="B166" t="s">
        <v>37</v>
      </c>
      <c r="C166" t="str">
        <f>VLOOKUP(B166,OLD!$A$2:$C$131,2,)</f>
        <v>Miscellaneous</v>
      </c>
      <c r="D166" t="str">
        <f>VLOOKUP(B166,OLD!$A$2:$C$131,3,FALSE)</f>
        <v>Other</v>
      </c>
      <c r="E166" t="str">
        <f>VLOOKUP(B166,OLD!$A$2:$E$131,4,TRUE)</f>
        <v>Diversified</v>
      </c>
      <c r="F166" t="str">
        <f>VLOOKUP(B166,OLD!$A$2:$E$131,5,TRUE)</f>
        <v>Capital Allocation Template</v>
      </c>
    </row>
    <row r="167" spans="1:6" x14ac:dyDescent="0.3">
      <c r="A167" t="s">
        <v>121</v>
      </c>
      <c r="B167" t="s">
        <v>37</v>
      </c>
      <c r="C167" t="str">
        <f>VLOOKUP(B167,OLD!$A$2:$C$131,2,)</f>
        <v>Miscellaneous</v>
      </c>
      <c r="D167" t="str">
        <f>VLOOKUP(B167,OLD!$A$2:$C$131,3,FALSE)</f>
        <v>Other</v>
      </c>
      <c r="E167" t="str">
        <f>VLOOKUP(B167,OLD!$A$2:$E$131,4,TRUE)</f>
        <v>Diversified</v>
      </c>
      <c r="F167" t="str">
        <f>VLOOKUP(B167,OLD!$A$2:$E$131,5,TRUE)</f>
        <v>Capital Allocation Template</v>
      </c>
    </row>
    <row r="168" spans="1:6" x14ac:dyDescent="0.3">
      <c r="A168" t="s">
        <v>4</v>
      </c>
      <c r="B168" t="s">
        <v>3</v>
      </c>
      <c r="C168" t="str">
        <f>VLOOKUP(B168,OLD!$A$2:$C$131,2,)</f>
        <v>Finance</v>
      </c>
      <c r="D168" t="str">
        <f>VLOOKUP(B168,OLD!$A$2:$C$131,3,FALSE)</f>
        <v>Finance</v>
      </c>
      <c r="E168" t="str">
        <f>VLOOKUP(B168,OLD!$A$2:$E$131,4,TRUE)</f>
        <v>Fee Based Financial</v>
      </c>
      <c r="F168" t="str">
        <f>VLOOKUP(B168,OLD!$A$2:$E$131,5,TRUE)</f>
        <v>Asset Management Template</v>
      </c>
    </row>
    <row r="169" spans="1:6" x14ac:dyDescent="0.3">
      <c r="A169" t="s">
        <v>159</v>
      </c>
      <c r="B169" t="s">
        <v>37</v>
      </c>
      <c r="C169" t="str">
        <f>VLOOKUP(B169,OLD!$A$2:$C$131,2,)</f>
        <v>Miscellaneous</v>
      </c>
      <c r="D169" t="str">
        <f>VLOOKUP(B169,OLD!$A$2:$C$131,3,FALSE)</f>
        <v>Other</v>
      </c>
      <c r="E169" t="str">
        <f>VLOOKUP(B169,OLD!$A$2:$E$131,4,TRUE)</f>
        <v>Diversified</v>
      </c>
      <c r="F169" t="str">
        <f>VLOOKUP(B169,OLD!$A$2:$E$131,5,TRUE)</f>
        <v>Capital Allocation Template</v>
      </c>
    </row>
    <row r="170" spans="1:6" x14ac:dyDescent="0.3">
      <c r="A170" t="s">
        <v>130</v>
      </c>
      <c r="B170" t="s">
        <v>131</v>
      </c>
      <c r="C170" t="str">
        <f>VLOOKUP(B170,OLD!$A$2:$C$131,2,)</f>
        <v>Consumer non-durables</v>
      </c>
      <c r="D170" t="str">
        <f>VLOOKUP(B170,OLD!$A$2:$C$131,3,FALSE)</f>
        <v>Consumption &amp; FMCG</v>
      </c>
      <c r="E170" t="str">
        <f>VLOOKUP(B170,OLD!$A$2:$E$131,4,TRUE)</f>
        <v>Brand Franchise</v>
      </c>
      <c r="F170" t="str">
        <f>VLOOKUP(B170,OLD!$A$2:$E$131,5,TRUE)</f>
        <v>Consumer Brand Template</v>
      </c>
    </row>
    <row r="171" spans="1:6" x14ac:dyDescent="0.3">
      <c r="A171" t="s">
        <v>442</v>
      </c>
      <c r="B171" t="s">
        <v>72</v>
      </c>
      <c r="C171" t="str">
        <f>VLOOKUP(B171,OLD!$A$2:$C$131,2,)</f>
        <v>Communications</v>
      </c>
      <c r="D171" t="str">
        <f>VLOOKUP(B171,OLD!$A$2:$C$131,3,FALSE)</f>
        <v>Other</v>
      </c>
      <c r="E171" t="str">
        <f>VLOOKUP(B171,OLD!$A$2:$E$131,4,TRUE)</f>
        <v>Network Utility</v>
      </c>
      <c r="F171" t="str">
        <f>VLOOKUP(B171,OLD!$A$2:$E$131,5,TRUE)</f>
        <v>Utility Template</v>
      </c>
    </row>
    <row r="172" spans="1:6" x14ac:dyDescent="0.3">
      <c r="A172" t="s">
        <v>175</v>
      </c>
      <c r="B172" t="s">
        <v>72</v>
      </c>
      <c r="C172" t="str">
        <f>VLOOKUP(B172,OLD!$A$2:$C$131,2,)</f>
        <v>Communications</v>
      </c>
      <c r="D172" t="str">
        <f>VLOOKUP(B172,OLD!$A$2:$C$131,3,FALSE)</f>
        <v>Other</v>
      </c>
      <c r="E172" t="str">
        <f>VLOOKUP(B172,OLD!$A$2:$E$131,4,TRUE)</f>
        <v>Network Utility</v>
      </c>
      <c r="F172" t="str">
        <f>VLOOKUP(B172,OLD!$A$2:$E$131,5,TRUE)</f>
        <v>Utility Template</v>
      </c>
    </row>
    <row r="173" spans="1:6" x14ac:dyDescent="0.3">
      <c r="A173" t="s">
        <v>443</v>
      </c>
      <c r="B173" t="s">
        <v>104</v>
      </c>
      <c r="C173" t="str">
        <f>VLOOKUP(B173,OLD!$A$2:$C$131,2,)</f>
        <v>Process industries</v>
      </c>
      <c r="D173" t="str">
        <f>VLOOKUP(B173,OLD!$A$2:$C$131,3,FALSE)</f>
        <v>Other</v>
      </c>
      <c r="E173" t="str">
        <f>VLOOKUP(B173,OLD!$A$2:$E$131,4,TRUE)</f>
        <v>Manufacturing</v>
      </c>
      <c r="F173" t="str">
        <f>VLOOKUP(B173,OLD!$A$2:$E$131,5,TRUE)</f>
        <v>Manufacturing Template</v>
      </c>
    </row>
    <row r="174" spans="1:6" x14ac:dyDescent="0.3">
      <c r="A174" t="s">
        <v>178</v>
      </c>
      <c r="B174" t="s">
        <v>37</v>
      </c>
      <c r="C174" t="str">
        <f>VLOOKUP(B174,OLD!$A$2:$C$131,2,)</f>
        <v>Miscellaneous</v>
      </c>
      <c r="D174" t="str">
        <f>VLOOKUP(B174,OLD!$A$2:$C$131,3,FALSE)</f>
        <v>Other</v>
      </c>
      <c r="E174" t="str">
        <f>VLOOKUP(B174,OLD!$A$2:$E$131,4,TRUE)</f>
        <v>Diversified</v>
      </c>
      <c r="F174" t="str">
        <f>VLOOKUP(B174,OLD!$A$2:$E$131,5,TRUE)</f>
        <v>Capital Allocation Template</v>
      </c>
    </row>
    <row r="175" spans="1:6" x14ac:dyDescent="0.3">
      <c r="A175" t="s">
        <v>206</v>
      </c>
      <c r="B175" t="s">
        <v>37</v>
      </c>
      <c r="C175" t="str">
        <f>VLOOKUP(B175,OLD!$A$2:$C$131,2,)</f>
        <v>Miscellaneous</v>
      </c>
      <c r="D175" t="str">
        <f>VLOOKUP(B175,OLD!$A$2:$C$131,3,FALSE)</f>
        <v>Other</v>
      </c>
      <c r="E175" t="str">
        <f>VLOOKUP(B175,OLD!$A$2:$E$131,4,TRUE)</f>
        <v>Diversified</v>
      </c>
      <c r="F175" t="str">
        <f>VLOOKUP(B175,OLD!$A$2:$E$131,5,TRUE)</f>
        <v>Capital Allocation Template</v>
      </c>
    </row>
    <row r="176" spans="1:6" x14ac:dyDescent="0.3">
      <c r="A176" t="s">
        <v>217</v>
      </c>
      <c r="B176" t="s">
        <v>37</v>
      </c>
      <c r="C176" t="str">
        <f>VLOOKUP(B176,OLD!$A$2:$C$131,2,)</f>
        <v>Miscellaneous</v>
      </c>
      <c r="D176" t="str">
        <f>VLOOKUP(B176,OLD!$A$2:$C$131,3,FALSE)</f>
        <v>Other</v>
      </c>
      <c r="E176" t="str">
        <f>VLOOKUP(B176,OLD!$A$2:$E$131,4,TRUE)</f>
        <v>Diversified</v>
      </c>
      <c r="F176" t="str">
        <f>VLOOKUP(B176,OLD!$A$2:$E$131,5,TRUE)</f>
        <v>Capital Allocation Template</v>
      </c>
    </row>
    <row r="177" spans="1:6" x14ac:dyDescent="0.3">
      <c r="A177" t="s">
        <v>33</v>
      </c>
      <c r="B177" t="s">
        <v>34</v>
      </c>
      <c r="C177" t="str">
        <f>VLOOKUP(B177,OLD!$A$2:$C$131,2,)</f>
        <v>Process industries</v>
      </c>
      <c r="D177" t="str">
        <f>VLOOKUP(B177,OLD!$A$2:$C$131,3,FALSE)</f>
        <v>Cement Chemical Metal</v>
      </c>
      <c r="E177" t="str">
        <f>VLOOKUP(B177,OLD!$A$2:$E$131,4,TRUE)</f>
        <v>Manufacturing</v>
      </c>
      <c r="F177" t="str">
        <f>VLOOKUP(B177,OLD!$A$2:$E$131,5,TRUE)</f>
        <v>Manufacturing Template</v>
      </c>
    </row>
    <row r="178" spans="1:6" x14ac:dyDescent="0.3">
      <c r="A178" t="s">
        <v>133</v>
      </c>
      <c r="B178" t="s">
        <v>37</v>
      </c>
      <c r="C178" t="str">
        <f>VLOOKUP(B178,OLD!$A$2:$C$131,2,)</f>
        <v>Miscellaneous</v>
      </c>
      <c r="D178" t="str">
        <f>VLOOKUP(B178,OLD!$A$2:$C$131,3,FALSE)</f>
        <v>Other</v>
      </c>
      <c r="E178" t="str">
        <f>VLOOKUP(B178,OLD!$A$2:$E$131,4,TRUE)</f>
        <v>Diversified</v>
      </c>
      <c r="F178" t="str">
        <f>VLOOKUP(B178,OLD!$A$2:$E$131,5,TRUE)</f>
        <v>Capital Allocation Template</v>
      </c>
    </row>
    <row r="179" spans="1:6" x14ac:dyDescent="0.3">
      <c r="A179" t="s">
        <v>97</v>
      </c>
      <c r="B179" t="s">
        <v>98</v>
      </c>
      <c r="C179" t="str">
        <f>VLOOKUP(B179,OLD!$A$2:$C$131,2,)</f>
        <v>Energy minerals</v>
      </c>
      <c r="D179" t="str">
        <f>VLOOKUP(B179,OLD!$A$2:$C$131,3,FALSE)</f>
        <v>Oil &amp; Gas</v>
      </c>
      <c r="E179" t="str">
        <f>VLOOKUP(B179,OLD!$A$2:$E$131,4,TRUE)</f>
        <v>Resource Extraction</v>
      </c>
      <c r="F179" t="str">
        <f>VLOOKUP(B179,OLD!$A$2:$E$131,5,TRUE)</f>
        <v>Commodity Template</v>
      </c>
    </row>
    <row r="180" spans="1:6" x14ac:dyDescent="0.3">
      <c r="A180" t="s">
        <v>58</v>
      </c>
      <c r="B180" t="s">
        <v>1</v>
      </c>
      <c r="C180" t="str">
        <f>VLOOKUP(B180,OLD!$A$2:$C$131,2,)</f>
        <v>Non-energy minerals</v>
      </c>
      <c r="D180" t="str">
        <f>VLOOKUP(B180,OLD!$A$2:$C$131,3,FALSE)</f>
        <v>Cement Chemical Metal</v>
      </c>
      <c r="E180" t="str">
        <f>VLOOKUP(B180,OLD!$A$2:$E$131,4,TRUE)</f>
        <v>Commodity Producer</v>
      </c>
      <c r="F180" t="str">
        <f>VLOOKUP(B180,OLD!$A$2:$E$131,5,TRUE)</f>
        <v>Commodity Template</v>
      </c>
    </row>
    <row r="181" spans="1:6" x14ac:dyDescent="0.3">
      <c r="A181" t="s">
        <v>81</v>
      </c>
      <c r="B181" t="s">
        <v>37</v>
      </c>
      <c r="C181" t="str">
        <f>VLOOKUP(B181,OLD!$A$2:$C$131,2,)</f>
        <v>Miscellaneous</v>
      </c>
      <c r="D181" t="str">
        <f>VLOOKUP(B181,OLD!$A$2:$C$131,3,FALSE)</f>
        <v>Other</v>
      </c>
      <c r="E181" t="str">
        <f>VLOOKUP(B181,OLD!$A$2:$E$131,4,TRUE)</f>
        <v>Diversified</v>
      </c>
      <c r="F181" t="str">
        <f>VLOOKUP(B181,OLD!$A$2:$E$131,5,TRUE)</f>
        <v>Capital Allocation Template</v>
      </c>
    </row>
    <row r="182" spans="1:6" x14ac:dyDescent="0.3">
      <c r="A182" t="s">
        <v>51</v>
      </c>
      <c r="B182" t="s">
        <v>37</v>
      </c>
      <c r="C182" t="str">
        <f>VLOOKUP(B182,OLD!$A$2:$C$131,2,)</f>
        <v>Miscellaneous</v>
      </c>
      <c r="D182" t="str">
        <f>VLOOKUP(B182,OLD!$A$2:$C$131,3,FALSE)</f>
        <v>Other</v>
      </c>
      <c r="E182" t="str">
        <f>VLOOKUP(B182,OLD!$A$2:$E$131,4,TRUE)</f>
        <v>Diversified</v>
      </c>
      <c r="F182" t="str">
        <f>VLOOKUP(B182,OLD!$A$2:$E$131,5,TRUE)</f>
        <v>Capital Allocation Template</v>
      </c>
    </row>
    <row r="183" spans="1:6" x14ac:dyDescent="0.3">
      <c r="A183" t="s">
        <v>25</v>
      </c>
      <c r="B183" t="s">
        <v>26</v>
      </c>
      <c r="C183" t="str">
        <f>VLOOKUP(B183,OLD!$A$2:$C$131,2,)</f>
        <v>Distribution services</v>
      </c>
      <c r="D183" t="str">
        <f>VLOOKUP(B183,OLD!$A$2:$C$131,3,FALSE)</f>
        <v>Other</v>
      </c>
      <c r="E183" t="str">
        <f>VLOOKUP(B183,OLD!$A$2:$E$131,4,TRUE)</f>
        <v>Distribution</v>
      </c>
      <c r="F183" t="str">
        <f>VLOOKUP(B183,OLD!$A$2:$E$131,5,TRUE)</f>
        <v>Retail Template</v>
      </c>
    </row>
    <row r="184" spans="1:6" x14ac:dyDescent="0.3">
      <c r="A184" t="s">
        <v>177</v>
      </c>
      <c r="B184" t="s">
        <v>37</v>
      </c>
      <c r="C184" t="str">
        <f>VLOOKUP(B184,OLD!$A$2:$C$131,2,)</f>
        <v>Miscellaneous</v>
      </c>
      <c r="D184" t="str">
        <f>VLOOKUP(B184,OLD!$A$2:$C$131,3,FALSE)</f>
        <v>Other</v>
      </c>
      <c r="E184" t="str">
        <f>VLOOKUP(B184,OLD!$A$2:$E$131,4,TRUE)</f>
        <v>Diversified</v>
      </c>
      <c r="F184" t="str">
        <f>VLOOKUP(B184,OLD!$A$2:$E$131,5,TRUE)</f>
        <v>Capital Allocation Template</v>
      </c>
    </row>
    <row r="185" spans="1:6" x14ac:dyDescent="0.3">
      <c r="A185" t="s">
        <v>444</v>
      </c>
      <c r="B185" t="s">
        <v>85</v>
      </c>
      <c r="C185" t="str">
        <f>VLOOKUP(B185,OLD!$A$2:$C$131,2,)</f>
        <v>Consumer services</v>
      </c>
      <c r="D185" t="str">
        <f>VLOOKUP(B185,OLD!$A$2:$C$131,3,FALSE)</f>
        <v>Other</v>
      </c>
      <c r="E185" t="str">
        <f>VLOOKUP(B185,OLD!$A$2:$E$131,4,TRUE)</f>
        <v>Media</v>
      </c>
      <c r="F185" t="str">
        <f>VLOOKUP(B185,OLD!$A$2:$E$131,5,TRUE)</f>
        <v>Asset Utilization Template</v>
      </c>
    </row>
    <row r="186" spans="1:6" x14ac:dyDescent="0.3">
      <c r="A186" t="s">
        <v>141</v>
      </c>
      <c r="B186" t="s">
        <v>37</v>
      </c>
      <c r="C186" t="str">
        <f>VLOOKUP(B186,OLD!$A$2:$C$131,2,)</f>
        <v>Miscellaneous</v>
      </c>
      <c r="D186" t="str">
        <f>VLOOKUP(B186,OLD!$A$2:$C$131,3,FALSE)</f>
        <v>Other</v>
      </c>
      <c r="E186" t="str">
        <f>VLOOKUP(B186,OLD!$A$2:$E$131,4,TRUE)</f>
        <v>Diversified</v>
      </c>
      <c r="F186" t="str">
        <f>VLOOKUP(B186,OLD!$A$2:$E$131,5,TRUE)</f>
        <v>Capital Allocation Template</v>
      </c>
    </row>
    <row r="187" spans="1:6" x14ac:dyDescent="0.3">
      <c r="A187" t="s">
        <v>136</v>
      </c>
      <c r="B187" t="s">
        <v>137</v>
      </c>
      <c r="C187" t="str">
        <f>VLOOKUP(B187,OLD!$A$2:$C$131,2,)</f>
        <v>Industrial services</v>
      </c>
      <c r="D187" t="str">
        <f>VLOOKUP(B187,OLD!$A$2:$C$131,3,FALSE)</f>
        <v>Other</v>
      </c>
      <c r="E187" t="str">
        <f>VLOOKUP(B187,OLD!$A$2:$E$131,4,TRUE)</f>
        <v>Utility Services</v>
      </c>
      <c r="F187" t="str">
        <f>VLOOKUP(B187,OLD!$A$2:$E$131,5,TRUE)</f>
        <v>Utility Template</v>
      </c>
    </row>
    <row r="188" spans="1:6" x14ac:dyDescent="0.3">
      <c r="A188" t="s">
        <v>139</v>
      </c>
      <c r="B188" t="s">
        <v>37</v>
      </c>
      <c r="C188" t="str">
        <f>VLOOKUP(B188,OLD!$A$2:$C$131,2,)</f>
        <v>Miscellaneous</v>
      </c>
      <c r="D188" t="str">
        <f>VLOOKUP(B188,OLD!$A$2:$C$131,3,FALSE)</f>
        <v>Other</v>
      </c>
      <c r="E188" t="str">
        <f>VLOOKUP(B188,OLD!$A$2:$E$131,4,TRUE)</f>
        <v>Diversified</v>
      </c>
      <c r="F188" t="str">
        <f>VLOOKUP(B188,OLD!$A$2:$E$131,5,TRUE)</f>
        <v>Capital Allocation Template</v>
      </c>
    </row>
    <row r="189" spans="1:6" x14ac:dyDescent="0.3">
      <c r="A189" t="s">
        <v>445</v>
      </c>
      <c r="B189" t="s">
        <v>85</v>
      </c>
      <c r="C189" t="str">
        <f>VLOOKUP(B189,OLD!$A$2:$C$131,2,)</f>
        <v>Consumer services</v>
      </c>
      <c r="D189" t="str">
        <f>VLOOKUP(B189,OLD!$A$2:$C$131,3,FALSE)</f>
        <v>Other</v>
      </c>
      <c r="E189" t="str">
        <f>VLOOKUP(B189,OLD!$A$2:$E$131,4,TRUE)</f>
        <v>Media</v>
      </c>
      <c r="F189" t="str">
        <f>VLOOKUP(B189,OLD!$A$2:$E$131,5,TRUE)</f>
        <v>Asset Utilization Template</v>
      </c>
    </row>
    <row r="190" spans="1:6" x14ac:dyDescent="0.3">
      <c r="A190" t="s">
        <v>221</v>
      </c>
      <c r="B190" t="s">
        <v>37</v>
      </c>
      <c r="C190" t="str">
        <f>VLOOKUP(B190,OLD!$A$2:$C$131,2,)</f>
        <v>Miscellaneous</v>
      </c>
      <c r="D190" t="str">
        <f>VLOOKUP(B190,OLD!$A$2:$C$131,3,FALSE)</f>
        <v>Other</v>
      </c>
      <c r="E190" t="str">
        <f>VLOOKUP(B190,OLD!$A$2:$E$131,4,TRUE)</f>
        <v>Diversified</v>
      </c>
      <c r="F190" t="str">
        <f>VLOOKUP(B190,OLD!$A$2:$E$131,5,TRUE)</f>
        <v>Capital Allocation Template</v>
      </c>
    </row>
    <row r="191" spans="1:6" x14ac:dyDescent="0.3">
      <c r="A191" t="s">
        <v>215</v>
      </c>
      <c r="B191" t="s">
        <v>1</v>
      </c>
      <c r="C191" t="str">
        <f>VLOOKUP(B191,OLD!$A$2:$C$131,2,)</f>
        <v>Non-energy minerals</v>
      </c>
      <c r="D191" t="str">
        <f>VLOOKUP(B191,OLD!$A$2:$C$131,3,FALSE)</f>
        <v>Cement Chemical Metal</v>
      </c>
      <c r="E191" t="str">
        <f>VLOOKUP(B191,OLD!$A$2:$E$131,4,TRUE)</f>
        <v>Commodity Producer</v>
      </c>
      <c r="F191" t="str">
        <f>VLOOKUP(B191,OLD!$A$2:$E$131,5,TRUE)</f>
        <v>Commodity Template</v>
      </c>
    </row>
  </sheetData>
  <autoFilter ref="A1:F191" xr:uid="{00000000-0001-0000-0000-000000000000}">
    <sortState xmlns:xlrd2="http://schemas.microsoft.com/office/spreadsheetml/2017/richdata2" ref="A2:F191">
      <sortCondition ref="A1:A191"/>
    </sortState>
  </autoFilter>
  <sortState xmlns:xlrd2="http://schemas.microsoft.com/office/spreadsheetml/2017/richdata2" ref="G2:G58">
    <sortCondition ref="G2:G5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Industry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 kheni</cp:lastModifiedBy>
  <dcterms:created xsi:type="dcterms:W3CDTF">2026-06-05T04:50:27Z</dcterms:created>
  <dcterms:modified xsi:type="dcterms:W3CDTF">2026-06-05T16:38:43Z</dcterms:modified>
</cp:coreProperties>
</file>